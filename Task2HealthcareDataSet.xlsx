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D:\DHIVYA\Portfolio\"/>
    </mc:Choice>
  </mc:AlternateContent>
  <xr:revisionPtr revIDLastSave="0" documentId="8_{F3460ACE-7327-49D4-A64C-B49027FEEC56}" xr6:coauthVersionLast="47" xr6:coauthVersionMax="47" xr10:uidLastSave="{00000000-0000-0000-0000-000000000000}"/>
  <bookViews>
    <workbookView xWindow="-110" yWindow="-110" windowWidth="19420" windowHeight="10300" firstSheet="5" activeTab="5" xr2:uid="{1636FDD4-FCAA-45A1-9E8E-D92BF399B3EE}"/>
  </bookViews>
  <sheets>
    <sheet name="Healthcare Data" sheetId="1" r:id="rId1"/>
    <sheet name="Disease Analysis" sheetId="3" r:id="rId2"/>
    <sheet name="Gender Analysis" sheetId="5" r:id="rId3"/>
    <sheet name="Medication Usage Analysis" sheetId="6" r:id="rId4"/>
    <sheet name="Age Analysis" sheetId="4" r:id="rId5"/>
    <sheet name="Dashboard" sheetId="7" r:id="rId6"/>
  </sheets>
  <definedNames>
    <definedName name="_xlcn.WorksheetConnection_Task2HealthcareDataSet.xlsxTable11" hidden="1">Table1[]</definedName>
  </definedNames>
  <calcPr calcId="191029"/>
  <pivotCaches>
    <pivotCache cacheId="80" r:id="rId7"/>
    <pivotCache cacheId="7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ask2Healthcare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7" l="1"/>
  <c r="E4" i="7"/>
  <c r="C4" i="7"/>
  <c r="A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553D6A-6F62-49C6-81FE-86365A097B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CC5CE7-B0FE-40EF-8B0A-D20149BA93E1}" name="WorksheetConnection_Task2Healthcare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ask2HealthcareDataSet.xlsxTable11"/>
        </x15:connection>
      </ext>
    </extLst>
  </connection>
</connections>
</file>

<file path=xl/sharedStrings.xml><?xml version="1.0" encoding="utf-8"?>
<sst xmlns="http://schemas.openxmlformats.org/spreadsheetml/2006/main" count="205" uniqueCount="89">
  <si>
    <t>Patient ID</t>
  </si>
  <si>
    <t>Age</t>
  </si>
  <si>
    <t>Gender</t>
  </si>
  <si>
    <t>Disease</t>
  </si>
  <si>
    <t>Medication</t>
  </si>
  <si>
    <t>Dosage</t>
  </si>
  <si>
    <t>P101</t>
  </si>
  <si>
    <t>Female</t>
  </si>
  <si>
    <t>Anaemia</t>
  </si>
  <si>
    <t>Ferrous Sulfate</t>
  </si>
  <si>
    <t>325 mg</t>
  </si>
  <si>
    <t>P102</t>
  </si>
  <si>
    <t>Male</t>
  </si>
  <si>
    <t>Diabetes</t>
  </si>
  <si>
    <t>Glimepiride</t>
  </si>
  <si>
    <t>2 mg</t>
  </si>
  <si>
    <t>P103</t>
  </si>
  <si>
    <t>Asthma</t>
  </si>
  <si>
    <t>Montelukast</t>
  </si>
  <si>
    <t>10 mg</t>
  </si>
  <si>
    <t>P104</t>
  </si>
  <si>
    <t>Arthritis</t>
  </si>
  <si>
    <t>Ibuprofen</t>
  </si>
  <si>
    <t>400 mg</t>
  </si>
  <si>
    <t>P105</t>
  </si>
  <si>
    <t>Migraine</t>
  </si>
  <si>
    <t>Sumatriptan</t>
  </si>
  <si>
    <t>50 mg</t>
  </si>
  <si>
    <t>P106</t>
  </si>
  <si>
    <t>Metformin</t>
  </si>
  <si>
    <t>500 mg</t>
  </si>
  <si>
    <t>P107</t>
  </si>
  <si>
    <t>P108</t>
  </si>
  <si>
    <t>Hypertension</t>
  </si>
  <si>
    <t>Losartan</t>
  </si>
  <si>
    <t>P109</t>
  </si>
  <si>
    <t>Budesonide</t>
  </si>
  <si>
    <t>200 mcg</t>
  </si>
  <si>
    <t>P110</t>
  </si>
  <si>
    <t>Paracetamol</t>
  </si>
  <si>
    <t>P111</t>
  </si>
  <si>
    <t>Naproxen</t>
  </si>
  <si>
    <t>250 mg</t>
  </si>
  <si>
    <t>P112</t>
  </si>
  <si>
    <t>850 mg</t>
  </si>
  <si>
    <t>P113</t>
  </si>
  <si>
    <t>Amlodipine</t>
  </si>
  <si>
    <t>5 mg</t>
  </si>
  <si>
    <t>P114</t>
  </si>
  <si>
    <t>P115</t>
  </si>
  <si>
    <t>Salbutamol</t>
  </si>
  <si>
    <t>100 mcg</t>
  </si>
  <si>
    <t>P116</t>
  </si>
  <si>
    <t>P117</t>
  </si>
  <si>
    <t>P118</t>
  </si>
  <si>
    <t>P119</t>
  </si>
  <si>
    <t>P120</t>
  </si>
  <si>
    <t>P121</t>
  </si>
  <si>
    <t>Folic Acid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</si>
  <si>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</si>
  <si>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</si>
  <si>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</si>
  <si>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</si>
  <si>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</si>
  <si>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</si>
  <si>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</si>
  <si>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</si>
  <si>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</si>
  <si>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Total Patients</t>
  </si>
  <si>
    <t>Patient Count</t>
  </si>
  <si>
    <t>Grand Total</t>
  </si>
  <si>
    <t>21-30</t>
  </si>
  <si>
    <t>31-40</t>
  </si>
  <si>
    <t>41-50</t>
  </si>
  <si>
    <t>51-60</t>
  </si>
  <si>
    <t>61-70</t>
  </si>
  <si>
    <t>71-80</t>
  </si>
  <si>
    <t>Medications</t>
  </si>
  <si>
    <t>Patients count</t>
  </si>
  <si>
    <t>Age Range</t>
  </si>
  <si>
    <t>HEALTHCARE DATA ANALYSIS DASHBOARD</t>
  </si>
  <si>
    <t>Average Age</t>
  </si>
  <si>
    <t>Female Patients</t>
  </si>
  <si>
    <t>Male Patients</t>
  </si>
  <si>
    <t>Key Insights</t>
  </si>
  <si>
    <t>• Diabetes has the highest patient count (7)</t>
  </si>
  <si>
    <t>• Male and female patients are equally represented (50% each)</t>
  </si>
  <si>
    <t>• Age groups 21–50 account for the highest patient counts</t>
  </si>
  <si>
    <t>• Metformin is the most frequently used medication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</si>
</sst>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[Task2HealthcareDataSet.xlsx]Disease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Arial Rounded MT Bold" panose="020F0704030504030204" pitchFamily="34" charset="0"/>
              </a:rPr>
              <a:t>Disease Distribution Among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'Disease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'Disease Analysis'!$A$4:$A$10</c:f>
              <c:strCache>
                <c:ptCount val="6"/>
                <c:pt idx="0">
                  <c:v>Anaemia</c:v>
                </c:pt>
                <c:pt idx="1">
                  <c:v>Arthritis</c:v>
                </c:pt>
                <c:pt idx="2">
                  <c:v>Asthma</c:v>
                </c:pt>
                <c:pt idx="3">
                  <c:v>Diabetes</c:v>
                </c:pt>
                <c:pt idx="4">
                  <c:v>Hypertension</c:v>
                </c:pt>
                <c:pt idx="5">
                  <c:v>Migraine</c:v>
                </c:pt>
              </c:strCache>
            </c:strRef>
          </c:cat>
          <c:val>
            <c:numRef>
              <c:f>'Disease Analysis'!$B$4:$B$10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D-49FA-9F3A-39FF4D7BC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480176"/>
        <c:axId val="1240699200"/>
      </c:barChart>
      <c:catAx>
        <c:axId val="66648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Disease</a:t>
                </a:r>
              </a:p>
              <a:p>
                <a:pPr>
                  <a:defRPr/>
                </a:pP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9200"/>
        <c:crosses val="autoZero"/>
        <c:auto val="1"/>
        <c:lblAlgn val="ctr"/>
        <c:lblOffset val="100"/>
        <c:noMultiLvlLbl val="0"/>
      </c:catAx>
      <c:valAx>
        <c:axId val="12406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 Patient</a:t>
                </a:r>
                <a:r>
                  <a:rPr lang="en-SG" baseline="0"/>
                  <a:t> Count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8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[Task2HealthcareDataSet.xlsx]Gender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SG">
                <a:solidFill>
                  <a:schemeClr val="tx2"/>
                </a:solidFill>
                <a:latin typeface="Arial Rounded MT Bold" panose="020F0704030504030204" pitchFamily="34" charset="0"/>
              </a:rPr>
              <a:t>Gender</a:t>
            </a:r>
            <a:r>
              <a:rPr lang="en-SG" baseline="0">
                <a:solidFill>
                  <a:schemeClr val="tx2"/>
                </a:solidFill>
                <a:latin typeface="Arial Rounded MT Bold" panose="020F0704030504030204" pitchFamily="34" charset="0"/>
              </a:rPr>
              <a:t> Ratio of Patients</a:t>
            </a:r>
          </a:p>
          <a:p>
            <a:pPr>
              <a:defRPr>
                <a:solidFill>
                  <a:schemeClr val="tx2"/>
                </a:solidFill>
                <a:latin typeface="Arial Rounded MT Bold" panose="020F0704030504030204" pitchFamily="34" charset="0"/>
              </a:defRPr>
            </a:pPr>
            <a:endParaRPr lang="en-SG">
              <a:solidFill>
                <a:schemeClr val="tx2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D-4BBA-A6E1-D25A889BB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[Task2HealthcareDataSet.xlsx]Medication Usage Analysis!PivotTable4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Arial Rounded MT Bold" panose="020F0704030504030204" pitchFamily="34" charset="0"/>
              </a:rPr>
              <a:t>Medication</a:t>
            </a:r>
            <a:r>
              <a:rPr lang="en-US" baseline="0">
                <a:solidFill>
                  <a:schemeClr val="tx2"/>
                </a:solidFill>
                <a:latin typeface="Arial Rounded MT Bold" panose="020F0704030504030204" pitchFamily="34" charset="0"/>
              </a:rPr>
              <a:t> usage among patients</a:t>
            </a:r>
            <a:endParaRPr lang="en-US">
              <a:solidFill>
                <a:schemeClr val="tx2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'Medication Usage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63-4A23-93BD-0330C1EFB1FE}"/>
              </c:ext>
            </c:extLst>
          </c:dPt>
          <c:cat>
            <c:strRef>
              <c:f>'Medication Usage Analysis'!$A$4:$A$17</c:f>
              <c:strCache>
                <c:ptCount val="13"/>
                <c:pt idx="0">
                  <c:v>Salbutamol</c:v>
                </c:pt>
                <c:pt idx="1">
                  <c:v>Folic Acid</c:v>
                </c:pt>
                <c:pt idx="2">
                  <c:v>Ibuprofen</c:v>
                </c:pt>
                <c:pt idx="3">
                  <c:v>Montelukast</c:v>
                </c:pt>
                <c:pt idx="4">
                  <c:v>Sumatriptan</c:v>
                </c:pt>
                <c:pt idx="5">
                  <c:v>Naproxen</c:v>
                </c:pt>
                <c:pt idx="6">
                  <c:v>Amlodipine</c:v>
                </c:pt>
                <c:pt idx="7">
                  <c:v>Budesonide</c:v>
                </c:pt>
                <c:pt idx="8">
                  <c:v>Losartan</c:v>
                </c:pt>
                <c:pt idx="9">
                  <c:v>Paracetamol</c:v>
                </c:pt>
                <c:pt idx="10">
                  <c:v>Ferrous Sulfate</c:v>
                </c:pt>
                <c:pt idx="11">
                  <c:v>Glimepiride</c:v>
                </c:pt>
                <c:pt idx="12">
                  <c:v>Metformin</c:v>
                </c:pt>
              </c:strCache>
            </c:strRef>
          </c:cat>
          <c:val>
            <c:numRef>
              <c:f>'Medication Usage Analysis'!$B$4:$B$17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3-4A23-93BD-0330C1EF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6980896"/>
        <c:axId val="674250224"/>
      </c:barChart>
      <c:catAx>
        <c:axId val="124698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Medication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50224"/>
        <c:crosses val="autoZero"/>
        <c:auto val="1"/>
        <c:lblAlgn val="ctr"/>
        <c:lblOffset val="100"/>
        <c:noMultiLvlLbl val="0"/>
      </c:catAx>
      <c:valAx>
        <c:axId val="67425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Patient</a:t>
                </a:r>
                <a:r>
                  <a:rPr lang="en-SG" baseline="0"/>
                  <a:t> Count</a:t>
                </a:r>
              </a:p>
              <a:p>
                <a:pPr>
                  <a:defRPr/>
                </a:pPr>
                <a:endParaRPr lang="en-SG"/>
              </a:p>
            </c:rich>
          </c:tx>
          <c:layout>
            <c:manualLayout>
              <c:xMode val="edge"/>
              <c:yMode val="edge"/>
              <c:x val="0.51516079521201719"/>
              <c:y val="0.8979552736635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8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[Task2HealthcareDataSet.xlsx]Age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SG">
                <a:solidFill>
                  <a:schemeClr val="tx2"/>
                </a:solidFill>
                <a:latin typeface="Arial Rounded MT Bold" panose="020F0704030504030204" pitchFamily="34" charset="0"/>
              </a:rPr>
              <a:t>Age Distribution of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Analysis'!$A$4:$A$10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'Age Analysis'!$B$4:$B$10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F-4585-932C-3116AA9EC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036768"/>
        <c:axId val="1247029568"/>
      </c:barChart>
      <c:catAx>
        <c:axId val="124703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29568"/>
        <c:crosses val="autoZero"/>
        <c:auto val="1"/>
        <c:lblAlgn val="ctr"/>
        <c:lblOffset val="100"/>
        <c:noMultiLvlLbl val="0"/>
      </c:catAx>
      <c:valAx>
        <c:axId val="12470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[Task2HealthcareDataSet.xlsx]Disease 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Arial Rounded MT Bold" panose="020F0704030504030204" pitchFamily="34" charset="0"/>
              </a:rPr>
              <a:t>Disease Distribution Among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'Disease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'Disease Analysis'!$A$4:$A$10</c:f>
              <c:strCache>
                <c:ptCount val="6"/>
                <c:pt idx="0">
                  <c:v>Anaemia</c:v>
                </c:pt>
                <c:pt idx="1">
                  <c:v>Arthritis</c:v>
                </c:pt>
                <c:pt idx="2">
                  <c:v>Asthma</c:v>
                </c:pt>
                <c:pt idx="3">
                  <c:v>Diabetes</c:v>
                </c:pt>
                <c:pt idx="4">
                  <c:v>Hypertension</c:v>
                </c:pt>
                <c:pt idx="5">
                  <c:v>Migraine</c:v>
                </c:pt>
              </c:strCache>
            </c:strRef>
          </c:cat>
          <c:val>
            <c:numRef>
              <c:f>'Disease Analysis'!$B$4:$B$10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C-41F8-8F18-605A8FD8F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6480176"/>
        <c:axId val="1240699200"/>
      </c:barChart>
      <c:catAx>
        <c:axId val="66648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Disease</a:t>
                </a:r>
              </a:p>
              <a:p>
                <a:pPr>
                  <a:defRPr/>
                </a:pP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9200"/>
        <c:crosses val="autoZero"/>
        <c:auto val="1"/>
        <c:lblAlgn val="ctr"/>
        <c:lblOffset val="100"/>
        <c:noMultiLvlLbl val="0"/>
      </c:catAx>
      <c:valAx>
        <c:axId val="12406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 Patient</a:t>
                </a:r>
                <a:r>
                  <a:rPr lang="en-SG" baseline="0"/>
                  <a:t> Count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8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[Task2HealthcareDataSet.xlsx]Gender Analysis!PivotTable3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SG">
                <a:solidFill>
                  <a:schemeClr val="tx2"/>
                </a:solidFill>
                <a:latin typeface="Arial Rounded MT Bold" panose="020F0704030504030204" pitchFamily="34" charset="0"/>
              </a:rPr>
              <a:t>Gender</a:t>
            </a:r>
            <a:r>
              <a:rPr lang="en-SG" baseline="0">
                <a:solidFill>
                  <a:schemeClr val="tx2"/>
                </a:solidFill>
                <a:latin typeface="Arial Rounded MT Bold" panose="020F0704030504030204" pitchFamily="34" charset="0"/>
              </a:rPr>
              <a:t> Ratio of Patients</a:t>
            </a:r>
          </a:p>
          <a:p>
            <a:pPr>
              <a:defRPr>
                <a:solidFill>
                  <a:schemeClr val="tx2"/>
                </a:solidFill>
                <a:latin typeface="Arial Rounded MT Bold" panose="020F0704030504030204" pitchFamily="34" charset="0"/>
              </a:defRPr>
            </a:pPr>
            <a:endParaRPr lang="en-SG">
              <a:solidFill>
                <a:schemeClr val="tx2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4D-4FCB-84BB-4C666AEAC4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D-4FCB-84BB-4C666AEAC4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4D-4FCB-84BB-4C666AEA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[Task2HealthcareDataSet.xlsx]Medication Usage Analysis!PivotTable4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Arial Rounded MT Bold" panose="020F0704030504030204" pitchFamily="34" charset="0"/>
              </a:rPr>
              <a:t>Medication</a:t>
            </a:r>
            <a:r>
              <a:rPr lang="en-US" baseline="0">
                <a:solidFill>
                  <a:schemeClr val="tx2"/>
                </a:solidFill>
                <a:latin typeface="Arial Rounded MT Bold" panose="020F0704030504030204" pitchFamily="34" charset="0"/>
              </a:rPr>
              <a:t> usage among patients</a:t>
            </a:r>
            <a:endParaRPr lang="en-US">
              <a:solidFill>
                <a:schemeClr val="tx2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'Medication Usage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28-4DBF-A4E8-6967D56C1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'Medication Usage Analysis'!$A$4:$A$17</c:f>
              <c:strCache>
                <c:ptCount val="13"/>
                <c:pt idx="0">
                  <c:v>Salbutamol</c:v>
                </c:pt>
                <c:pt idx="1">
                  <c:v>Folic Acid</c:v>
                </c:pt>
                <c:pt idx="2">
                  <c:v>Ibuprofen</c:v>
                </c:pt>
                <c:pt idx="3">
                  <c:v>Montelukast</c:v>
                </c:pt>
                <c:pt idx="4">
                  <c:v>Sumatriptan</c:v>
                </c:pt>
                <c:pt idx="5">
                  <c:v>Naproxen</c:v>
                </c:pt>
                <c:pt idx="6">
                  <c:v>Amlodipine</c:v>
                </c:pt>
                <c:pt idx="7">
                  <c:v>Budesonide</c:v>
                </c:pt>
                <c:pt idx="8">
                  <c:v>Losartan</c:v>
                </c:pt>
                <c:pt idx="9">
                  <c:v>Paracetamol</c:v>
                </c:pt>
                <c:pt idx="10">
                  <c:v>Ferrous Sulfate</c:v>
                </c:pt>
                <c:pt idx="11">
                  <c:v>Glimepiride</c:v>
                </c:pt>
                <c:pt idx="12">
                  <c:v>Metformin</c:v>
                </c:pt>
              </c:strCache>
            </c:strRef>
          </c:cat>
          <c:val>
            <c:numRef>
              <c:f>'Medication Usage Analysis'!$B$4:$B$17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8-4DBF-A4E8-6967D56C1C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46980896"/>
        <c:axId val="674250224"/>
      </c:barChart>
      <c:catAx>
        <c:axId val="124698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Medication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50224"/>
        <c:crosses val="autoZero"/>
        <c:auto val="1"/>
        <c:lblAlgn val="ctr"/>
        <c:lblOffset val="100"/>
        <c:noMultiLvlLbl val="0"/>
      </c:catAx>
      <c:valAx>
        <c:axId val="67425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Patient</a:t>
                </a:r>
                <a:r>
                  <a:rPr lang="en-SG" baseline="0"/>
                  <a:t> Count</a:t>
                </a:r>
              </a:p>
              <a:p>
                <a:pPr>
                  <a:defRPr/>
                </a:pPr>
                <a:endParaRPr lang="en-SG"/>
              </a:p>
            </c:rich>
          </c:tx>
          <c:layout>
            <c:manualLayout>
              <c:xMode val="edge"/>
              <c:yMode val="edge"/>
              <c:x val="0.51516079521201719"/>
              <c:y val="0.8979552736635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8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[Task2HealthcareDataSet.xlsx]Age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SG">
                <a:solidFill>
                  <a:schemeClr val="tx2"/>
                </a:solidFill>
                <a:latin typeface="Arial Rounded MT Bold" panose="020F0704030504030204" pitchFamily="34" charset="0"/>
              </a:rPr>
              <a:t>Age Distribution of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Analysis'!$A$4:$A$10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'Age Analysis'!$B$4:$B$10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9-46B3-BE92-11A497244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036768"/>
        <c:axId val="1247029568"/>
      </c:barChart>
      <c:catAx>
        <c:axId val="124703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29568"/>
        <c:crosses val="autoZero"/>
        <c:auto val="1"/>
        <c:lblAlgn val="ctr"/>
        <c:lblOffset val="100"/>
        <c:noMultiLvlLbl val="0"/>
      </c:catAx>
      <c:valAx>
        <c:axId val="12470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1</xdr:row>
      <xdr:rowOff>34925</xdr:rowOff>
    </xdr:from>
    <xdr:to>
      <xdr:col>10</xdr:col>
      <xdr:colOff>44450</xdr:colOff>
      <xdr:row>16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1FCA6-DEEC-A1BA-DCA5-C9AC9EC56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415925</xdr:colOff>
      <xdr:row>3</xdr:row>
      <xdr:rowOff>3175</xdr:rowOff>
    </xdr:from>
    <xdr:to>
      <xdr:col>10</xdr:col>
      <xdr:colOff>111125</xdr:colOff>
      <xdr:row>17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EC13E-2B70-AB8D-6C44-2C72734CA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0</xdr:row>
      <xdr:rowOff>82550</xdr:rowOff>
    </xdr:from>
    <xdr:to>
      <xdr:col>12</xdr:col>
      <xdr:colOff>533400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EF3AC-92ED-CAD8-1580-FF820D6BE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282575</xdr:colOff>
      <xdr:row>3</xdr:row>
      <xdr:rowOff>3175</xdr:rowOff>
    </xdr:from>
    <xdr:to>
      <xdr:col>11</xdr:col>
      <xdr:colOff>587375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E610D-4F91-0179-DF68-A65AE15CC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324555</xdr:colOff>
      <xdr:row>6</xdr:row>
      <xdr:rowOff>84667</xdr:rowOff>
    </xdr:from>
    <xdr:to>
      <xdr:col>4</xdr:col>
      <xdr:colOff>818444</xdr:colOff>
      <xdr:row>25</xdr:row>
      <xdr:rowOff>59972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3ECDE1-0185-4C57-A741-0FF15836A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990599</xdr:colOff>
      <xdr:row>6</xdr:row>
      <xdr:rowOff>97365</xdr:rowOff>
    </xdr:from>
    <xdr:to>
      <xdr:col>10</xdr:col>
      <xdr:colOff>268111</xdr:colOff>
      <xdr:row>25</xdr:row>
      <xdr:rowOff>14110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230EA9-A602-49D2-9C96-1E4064C05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310446</xdr:colOff>
      <xdr:row>26</xdr:row>
      <xdr:rowOff>42334</xdr:rowOff>
    </xdr:from>
    <xdr:to>
      <xdr:col>4</xdr:col>
      <xdr:colOff>790223</xdr:colOff>
      <xdr:row>47</xdr:row>
      <xdr:rowOff>112889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E174F8-D1C4-4BE8-AD27-A662E8BB4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959555</xdr:colOff>
      <xdr:row>26</xdr:row>
      <xdr:rowOff>1</xdr:rowOff>
    </xdr:from>
    <xdr:to>
      <xdr:col>10</xdr:col>
      <xdr:colOff>254000</xdr:colOff>
      <xdr:row>47</xdr:row>
      <xdr:rowOff>155222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155D30-A49C-45F7-AFB7-0FF18E3C4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2.518282060184" createdVersion="8" refreshedVersion="8" minRefreshableVersion="3" recordCount="30" xr:uid="{31E30DEA-4DDB-4ADD-8226-EDDDC7D993A4}">
  <cacheSource type="worksheet">
    <worksheetSource name="Table1"/>
  </cacheSource>
  <cacheFields count="6">
    <cacheField name="Patient ID" numFmtId="0">
      <sharedItems/>
    </cacheField>
    <cacheField name="Age" numFmtId="0">
      <sharedItems containsSemiMixedTypes="0" containsString="0" containsNumber="1" containsInteger="1" minValue="21" maxValue="76" count="30">
        <n v="22"/>
        <n v="45"/>
        <n v="37"/>
        <n v="61"/>
        <n v="28"/>
        <n v="54"/>
        <n v="33"/>
        <n v="69"/>
        <n v="41"/>
        <n v="26"/>
        <n v="58"/>
        <n v="47"/>
        <n v="31"/>
        <n v="73"/>
        <n v="39"/>
        <n v="24"/>
        <n v="52"/>
        <n v="66"/>
        <n v="35"/>
        <n v="49"/>
        <n v="29"/>
        <n v="62"/>
        <n v="44"/>
        <n v="57"/>
        <n v="21"/>
        <n v="68"/>
        <n v="32"/>
        <n v="55"/>
        <n v="43"/>
        <n v="76"/>
      </sharedItems>
      <fieldGroup base="1">
        <rangePr startNum="21" endNum="76" groupInterval="10"/>
        <groupItems count="8">
          <s v="&lt;21"/>
          <s v="21-30"/>
          <s v="31-40"/>
          <s v="41-50"/>
          <s v="51-60"/>
          <s v="61-70"/>
          <s v="71-80"/>
          <s v="&gt;81"/>
        </groupItems>
      </fieldGroup>
    </cacheField>
    <cacheField name="Gender" numFmtId="0">
      <sharedItems count="2">
        <s v="Female"/>
        <s v="Male"/>
      </sharedItems>
    </cacheField>
    <cacheField name="Disease" numFmtId="0">
      <sharedItems/>
    </cacheField>
    <cacheField name="Medication" numFmtId="0">
      <sharedItems count="13">
        <s v="Ferrous Sulfate"/>
        <s v="Glimepiride"/>
        <s v="Montelukast"/>
        <s v="Ibuprofen"/>
        <s v="Sumatriptan"/>
        <s v="Metformin"/>
        <s v="Losartan"/>
        <s v="Budesonide"/>
        <s v="Paracetamol"/>
        <s v="Naproxen"/>
        <s v="Amlodipine"/>
        <s v="Salbutamol"/>
        <s v="Folic Acid"/>
      </sharedItems>
    </cacheField>
    <cacheField name="Dosa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72.525691898147" backgroundQuery="1" createdVersion="8" refreshedVersion="8" minRefreshableVersion="3" recordCount="0" supportSubquery="1" supportAdvancedDrill="1" xr:uid="{98DCD76A-DB12-4C10-BB78-B13CE7CC5425}">
  <cacheSource type="external" connectionId="1"/>
  <cacheFields count="2">
    <cacheField name="[Measures].[Count of Patient ID]" caption="Count of Patient ID" numFmtId="0" hierarchy="9" level="32767"/>
    <cacheField name="[Table1].[Disease].[Disease]" caption="Disease" numFmtId="0" hierarchy="3" level="1">
      <sharedItems count="6">
        <s v="Anaemia"/>
        <s v="Arthritis"/>
        <s v="Asthma"/>
        <s v="Diabetes"/>
        <s v="Hypertension"/>
        <s v="Migraine"/>
      </sharedItems>
    </cacheField>
  </cacheFields>
  <cacheHierarchies count="10"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/>
    <cacheHierarchy uniqueName="[Table1].[Disease]" caption="Disease" attribute="1" defaultMemberUniqueName="[Table1].[Disease].[All]" allUniqueName="[Table1].[Diseas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edication]" caption="Medication" attribute="1" defaultMemberUniqueName="[Table1].[Medication].[All]" allUniqueName="[Table1].[Medication].[All]" dimensionUniqueName="[Table1]" displayFolder="" count="2" memberValueDatatype="130" unbalanced="0"/>
    <cacheHierarchy uniqueName="[Table1].[Dosage]" caption="Dosage" attribute="1" defaultMemberUniqueName="[Table1].[Dosage].[All]" allUniqueName="[Table1].[Dosag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tient ID]" caption="Count of Patient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101"/>
    <x v="0"/>
    <x v="0"/>
    <s v="Anaemia"/>
    <x v="0"/>
    <s v="325 mg"/>
  </r>
  <r>
    <s v="P102"/>
    <x v="1"/>
    <x v="1"/>
    <s v="Diabetes"/>
    <x v="1"/>
    <s v="2 mg"/>
  </r>
  <r>
    <s v="P103"/>
    <x v="2"/>
    <x v="0"/>
    <s v="Asthma"/>
    <x v="2"/>
    <s v="10 mg"/>
  </r>
  <r>
    <s v="P104"/>
    <x v="3"/>
    <x v="1"/>
    <s v="Arthritis"/>
    <x v="3"/>
    <s v="400 mg"/>
  </r>
  <r>
    <s v="P105"/>
    <x v="4"/>
    <x v="0"/>
    <s v="Migraine"/>
    <x v="4"/>
    <s v="50 mg"/>
  </r>
  <r>
    <s v="P106"/>
    <x v="5"/>
    <x v="1"/>
    <s v="Diabetes"/>
    <x v="5"/>
    <s v="500 mg"/>
  </r>
  <r>
    <s v="P107"/>
    <x v="6"/>
    <x v="0"/>
    <s v="Anaemia"/>
    <x v="0"/>
    <s v="325 mg"/>
  </r>
  <r>
    <s v="P108"/>
    <x v="7"/>
    <x v="1"/>
    <s v="Hypertension"/>
    <x v="6"/>
    <s v="50 mg"/>
  </r>
  <r>
    <s v="P109"/>
    <x v="8"/>
    <x v="0"/>
    <s v="Asthma"/>
    <x v="7"/>
    <s v="200 mcg"/>
  </r>
  <r>
    <s v="P110"/>
    <x v="9"/>
    <x v="1"/>
    <s v="Migraine"/>
    <x v="8"/>
    <s v="500 mg"/>
  </r>
  <r>
    <s v="P111"/>
    <x v="10"/>
    <x v="0"/>
    <s v="Arthritis"/>
    <x v="9"/>
    <s v="250 mg"/>
  </r>
  <r>
    <s v="P112"/>
    <x v="11"/>
    <x v="1"/>
    <s v="Diabetes"/>
    <x v="5"/>
    <s v="850 mg"/>
  </r>
  <r>
    <s v="P113"/>
    <x v="12"/>
    <x v="0"/>
    <s v="Hypertension"/>
    <x v="10"/>
    <s v="5 mg"/>
  </r>
  <r>
    <s v="P114"/>
    <x v="13"/>
    <x v="1"/>
    <s v="Arthritis"/>
    <x v="8"/>
    <s v="500 mg"/>
  </r>
  <r>
    <s v="P115"/>
    <x v="14"/>
    <x v="0"/>
    <s v="Asthma"/>
    <x v="11"/>
    <s v="100 mcg"/>
  </r>
  <r>
    <s v="P116"/>
    <x v="15"/>
    <x v="1"/>
    <s v="Anaemia"/>
    <x v="0"/>
    <s v="325 mg"/>
  </r>
  <r>
    <s v="P117"/>
    <x v="16"/>
    <x v="0"/>
    <s v="Diabetes"/>
    <x v="1"/>
    <s v="2 mg"/>
  </r>
  <r>
    <s v="P118"/>
    <x v="17"/>
    <x v="1"/>
    <s v="Hypertension"/>
    <x v="10"/>
    <s v="10 mg"/>
  </r>
  <r>
    <s v="P119"/>
    <x v="18"/>
    <x v="0"/>
    <s v="Migraine"/>
    <x v="4"/>
    <s v="50 mg"/>
  </r>
  <r>
    <s v="P120"/>
    <x v="19"/>
    <x v="1"/>
    <s v="Arthritis"/>
    <x v="9"/>
    <s v="250 mg"/>
  </r>
  <r>
    <s v="P121"/>
    <x v="20"/>
    <x v="0"/>
    <s v="Anaemia"/>
    <x v="12"/>
    <s v="5 mg"/>
  </r>
  <r>
    <s v="P122"/>
    <x v="21"/>
    <x v="1"/>
    <s v="Diabetes"/>
    <x v="5"/>
    <s v="500 mg"/>
  </r>
  <r>
    <s v="P123"/>
    <x v="22"/>
    <x v="0"/>
    <s v="Hypertension"/>
    <x v="6"/>
    <s v="50 mg"/>
  </r>
  <r>
    <s v="P124"/>
    <x v="23"/>
    <x v="1"/>
    <s v="Asthma"/>
    <x v="2"/>
    <s v="10 mg"/>
  </r>
  <r>
    <s v="P125"/>
    <x v="24"/>
    <x v="0"/>
    <s v="Migraine"/>
    <x v="8"/>
    <s v="500 mg"/>
  </r>
  <r>
    <s v="P126"/>
    <x v="25"/>
    <x v="1"/>
    <s v="Arthritis"/>
    <x v="3"/>
    <s v="400 mg"/>
  </r>
  <r>
    <s v="P127"/>
    <x v="26"/>
    <x v="0"/>
    <s v="Diabetes"/>
    <x v="5"/>
    <s v="850 mg"/>
  </r>
  <r>
    <s v="P128"/>
    <x v="27"/>
    <x v="1"/>
    <s v="Hypertension"/>
    <x v="6"/>
    <s v="50 mg"/>
  </r>
  <r>
    <s v="P129"/>
    <x v="28"/>
    <x v="0"/>
    <s v="Asthma"/>
    <x v="7"/>
    <s v="200 mcg"/>
  </r>
  <r>
    <s v="P130"/>
    <x v="29"/>
    <x v="1"/>
    <s v="Diabetes"/>
    <x v="1"/>
    <s v="2 m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BC00D-3E65-4F41-ABA4-0704CF15918E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isease">
  <location ref="A3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atient Count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atient Count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2Healthcare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868C1-101B-4AA1-8AFB-4B1516D130F8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ender">
  <location ref="A3:B6" firstHeaderRow="1" firstDataRow="1" firstDataCol="1"/>
  <pivotFields count="6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Patient Count" fld="0" subtotal="count" baseField="2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3BE55-0C77-4400-8206-C0BF08F11F87}" name="PivotTable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edications">
  <location ref="A3:B17" firstHeaderRow="1" firstDataRow="1" firstDataCol="1"/>
  <pivotFields count="6">
    <pivotField dataField="1" showAll="0"/>
    <pivotField showAll="0"/>
    <pivotField showAll="0"/>
    <pivotField showAll="0"/>
    <pivotField axis="axisRow" showAll="0" sortType="ascending">
      <items count="14">
        <item x="10"/>
        <item x="7"/>
        <item x="0"/>
        <item x="12"/>
        <item x="1"/>
        <item x="3"/>
        <item x="6"/>
        <item x="5"/>
        <item x="2"/>
        <item x="9"/>
        <item x="8"/>
        <item x="1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14">
    <i>
      <x v="11"/>
    </i>
    <i>
      <x v="3"/>
    </i>
    <i>
      <x v="5"/>
    </i>
    <i>
      <x v="8"/>
    </i>
    <i>
      <x v="12"/>
    </i>
    <i>
      <x v="9"/>
    </i>
    <i>
      <x/>
    </i>
    <i>
      <x v="1"/>
    </i>
    <i>
      <x v="6"/>
    </i>
    <i>
      <x v="10"/>
    </i>
    <i>
      <x v="2"/>
    </i>
    <i>
      <x v="4"/>
    </i>
    <i>
      <x v="7"/>
    </i>
    <i t="grand">
      <x/>
    </i>
  </rowItems>
  <colItems count="1">
    <i/>
  </colItems>
  <dataFields count="1">
    <dataField name="Patients count" fld="0" subtotal="count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CAB24-58BB-4769-86CB-D26881FA5499}" name="PivotTable2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Range">
  <location ref="A3:B10" firstHeaderRow="1" firstDataRow="1" firstDataCol="1"/>
  <pivotFields count="6"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atient Count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EA74F-F023-4434-AD4D-2E1A88E3FB32}" name="Table1" displayName="Table1" ref="A1:F31" totalsRowShown="0">
  <autoFilter ref="A1:F31" xr:uid="{A9FEA74F-F023-4434-AD4D-2E1A88E3FB32}"/>
  <tableColumns count="6">
    <tableColumn id="1" xr3:uid="{60D19CFE-83A9-4313-88EC-DFE8800D54F4}" name="Patient ID"/>
    <tableColumn id="2" xr3:uid="{06E6C019-8517-460D-B5C9-26A930F3F243}" name="Age"/>
    <tableColumn id="3" xr3:uid="{6447A835-FA65-4678-8E8D-A9B3E904B671}" name="Gender"/>
    <tableColumn id="4" xr3:uid="{D19C4718-6B23-4B6A-A39C-1BE9612435D7}" name="Disease"/>
    <tableColumn id="5" xr3:uid="{FC5B0C61-4B02-48F0-B30A-640EDE2923AC}" name="Medication"/>
    <tableColumn id="6" xr3:uid="{A48AEAA7-8901-4742-B6A7-F65EDCF206D8}" name="Do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2AE1-18A6-4347-A0AB-B497CA427D73}">
  <dimension ref="A1:F31"/>
  <sheetViews>
    <sheetView workbookViewId="0">
      <selection activeCell="G7" sqref="G7"/>
    </sheetView>
  </sheetViews>
  <sheetFormatPr defaultRowHeight="14.5" x14ac:dyDescent="0.35"/>
  <cols>
    <col min="1" max="1" width="13.7265625" customWidth="1"/>
    <col min="3" max="3" width="13.81640625" customWidth="1"/>
    <col min="4" max="4" width="22.6328125" customWidth="1"/>
    <col min="5" max="5" width="36.90625" customWidth="1"/>
    <col min="6" max="6" width="1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22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45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16</v>
      </c>
      <c r="B4">
        <v>37</v>
      </c>
      <c r="C4" t="s">
        <v>7</v>
      </c>
      <c r="D4" t="s">
        <v>17</v>
      </c>
      <c r="E4" t="s">
        <v>18</v>
      </c>
      <c r="F4" t="s">
        <v>19</v>
      </c>
    </row>
    <row r="5" spans="1:6" x14ac:dyDescent="0.35">
      <c r="A5" t="s">
        <v>20</v>
      </c>
      <c r="B5">
        <v>61</v>
      </c>
      <c r="C5" t="s">
        <v>12</v>
      </c>
      <c r="D5" t="s">
        <v>21</v>
      </c>
      <c r="E5" t="s">
        <v>22</v>
      </c>
      <c r="F5" t="s">
        <v>23</v>
      </c>
    </row>
    <row r="6" spans="1:6" x14ac:dyDescent="0.35">
      <c r="A6" t="s">
        <v>24</v>
      </c>
      <c r="B6">
        <v>28</v>
      </c>
      <c r="C6" t="s">
        <v>7</v>
      </c>
      <c r="D6" t="s">
        <v>25</v>
      </c>
      <c r="E6" t="s">
        <v>26</v>
      </c>
      <c r="F6" t="s">
        <v>27</v>
      </c>
    </row>
    <row r="7" spans="1:6" x14ac:dyDescent="0.35">
      <c r="A7" t="s">
        <v>28</v>
      </c>
      <c r="B7">
        <v>54</v>
      </c>
      <c r="C7" t="s">
        <v>12</v>
      </c>
      <c r="D7" t="s">
        <v>13</v>
      </c>
      <c r="E7" t="s">
        <v>29</v>
      </c>
      <c r="F7" t="s">
        <v>30</v>
      </c>
    </row>
    <row r="8" spans="1:6" x14ac:dyDescent="0.35">
      <c r="A8" t="s">
        <v>31</v>
      </c>
      <c r="B8">
        <v>33</v>
      </c>
      <c r="C8" t="s">
        <v>7</v>
      </c>
      <c r="D8" t="s">
        <v>8</v>
      </c>
      <c r="E8" t="s">
        <v>9</v>
      </c>
      <c r="F8" t="s">
        <v>10</v>
      </c>
    </row>
    <row r="9" spans="1:6" x14ac:dyDescent="0.35">
      <c r="A9" t="s">
        <v>32</v>
      </c>
      <c r="B9">
        <v>69</v>
      </c>
      <c r="C9" t="s">
        <v>12</v>
      </c>
      <c r="D9" t="s">
        <v>33</v>
      </c>
      <c r="E9" t="s">
        <v>34</v>
      </c>
      <c r="F9" t="s">
        <v>27</v>
      </c>
    </row>
    <row r="10" spans="1:6" x14ac:dyDescent="0.35">
      <c r="A10" t="s">
        <v>35</v>
      </c>
      <c r="B10">
        <v>41</v>
      </c>
      <c r="C10" t="s">
        <v>7</v>
      </c>
      <c r="D10" t="s">
        <v>17</v>
      </c>
      <c r="E10" t="s">
        <v>36</v>
      </c>
      <c r="F10" t="s">
        <v>37</v>
      </c>
    </row>
    <row r="11" spans="1:6" x14ac:dyDescent="0.35">
      <c r="A11" t="s">
        <v>38</v>
      </c>
      <c r="B11">
        <v>26</v>
      </c>
      <c r="C11" t="s">
        <v>12</v>
      </c>
      <c r="D11" t="s">
        <v>25</v>
      </c>
      <c r="E11" t="s">
        <v>39</v>
      </c>
      <c r="F11" t="s">
        <v>30</v>
      </c>
    </row>
    <row r="12" spans="1:6" x14ac:dyDescent="0.35">
      <c r="A12" t="s">
        <v>40</v>
      </c>
      <c r="B12">
        <v>58</v>
      </c>
      <c r="C12" t="s">
        <v>7</v>
      </c>
      <c r="D12" t="s">
        <v>21</v>
      </c>
      <c r="E12" t="s">
        <v>41</v>
      </c>
      <c r="F12" t="s">
        <v>42</v>
      </c>
    </row>
    <row r="13" spans="1:6" x14ac:dyDescent="0.35">
      <c r="A13" t="s">
        <v>43</v>
      </c>
      <c r="B13">
        <v>47</v>
      </c>
      <c r="C13" t="s">
        <v>12</v>
      </c>
      <c r="D13" t="s">
        <v>13</v>
      </c>
      <c r="E13" t="s">
        <v>29</v>
      </c>
      <c r="F13" t="s">
        <v>44</v>
      </c>
    </row>
    <row r="14" spans="1:6" x14ac:dyDescent="0.35">
      <c r="A14" t="s">
        <v>45</v>
      </c>
      <c r="B14">
        <v>31</v>
      </c>
      <c r="C14" t="s">
        <v>7</v>
      </c>
      <c r="D14" t="s">
        <v>33</v>
      </c>
      <c r="E14" t="s">
        <v>46</v>
      </c>
      <c r="F14" t="s">
        <v>47</v>
      </c>
    </row>
    <row r="15" spans="1:6" x14ac:dyDescent="0.35">
      <c r="A15" t="s">
        <v>48</v>
      </c>
      <c r="B15">
        <v>73</v>
      </c>
      <c r="C15" t="s">
        <v>12</v>
      </c>
      <c r="D15" t="s">
        <v>21</v>
      </c>
      <c r="E15" t="s">
        <v>39</v>
      </c>
      <c r="F15" t="s">
        <v>30</v>
      </c>
    </row>
    <row r="16" spans="1:6" x14ac:dyDescent="0.35">
      <c r="A16" t="s">
        <v>49</v>
      </c>
      <c r="B16">
        <v>39</v>
      </c>
      <c r="C16" t="s">
        <v>7</v>
      </c>
      <c r="D16" t="s">
        <v>17</v>
      </c>
      <c r="E16" t="s">
        <v>50</v>
      </c>
      <c r="F16" t="s">
        <v>51</v>
      </c>
    </row>
    <row r="17" spans="1:6" x14ac:dyDescent="0.35">
      <c r="A17" t="s">
        <v>52</v>
      </c>
      <c r="B17">
        <v>24</v>
      </c>
      <c r="C17" t="s">
        <v>12</v>
      </c>
      <c r="D17" t="s">
        <v>8</v>
      </c>
      <c r="E17" t="s">
        <v>9</v>
      </c>
      <c r="F17" t="s">
        <v>10</v>
      </c>
    </row>
    <row r="18" spans="1:6" x14ac:dyDescent="0.35">
      <c r="A18" t="s">
        <v>53</v>
      </c>
      <c r="B18">
        <v>52</v>
      </c>
      <c r="C18" t="s">
        <v>7</v>
      </c>
      <c r="D18" t="s">
        <v>13</v>
      </c>
      <c r="E18" t="s">
        <v>14</v>
      </c>
      <c r="F18" t="s">
        <v>15</v>
      </c>
    </row>
    <row r="19" spans="1:6" x14ac:dyDescent="0.35">
      <c r="A19" t="s">
        <v>54</v>
      </c>
      <c r="B19">
        <v>66</v>
      </c>
      <c r="C19" t="s">
        <v>12</v>
      </c>
      <c r="D19" t="s">
        <v>33</v>
      </c>
      <c r="E19" t="s">
        <v>46</v>
      </c>
      <c r="F19" t="s">
        <v>19</v>
      </c>
    </row>
    <row r="20" spans="1:6" x14ac:dyDescent="0.35">
      <c r="A20" t="s">
        <v>55</v>
      </c>
      <c r="B20">
        <v>35</v>
      </c>
      <c r="C20" t="s">
        <v>7</v>
      </c>
      <c r="D20" t="s">
        <v>25</v>
      </c>
      <c r="E20" t="s">
        <v>26</v>
      </c>
      <c r="F20" t="s">
        <v>27</v>
      </c>
    </row>
    <row r="21" spans="1:6" x14ac:dyDescent="0.35">
      <c r="A21" t="s">
        <v>56</v>
      </c>
      <c r="B21">
        <v>49</v>
      </c>
      <c r="C21" t="s">
        <v>12</v>
      </c>
      <c r="D21" t="s">
        <v>21</v>
      </c>
      <c r="E21" t="s">
        <v>41</v>
      </c>
      <c r="F21" t="s">
        <v>42</v>
      </c>
    </row>
    <row r="22" spans="1:6" x14ac:dyDescent="0.35">
      <c r="A22" t="s">
        <v>57</v>
      </c>
      <c r="B22">
        <v>29</v>
      </c>
      <c r="C22" t="s">
        <v>7</v>
      </c>
      <c r="D22" t="s">
        <v>8</v>
      </c>
      <c r="E22" t="s">
        <v>58</v>
      </c>
      <c r="F22" t="s">
        <v>47</v>
      </c>
    </row>
    <row r="23" spans="1:6" x14ac:dyDescent="0.35">
      <c r="A23" t="s">
        <v>59</v>
      </c>
      <c r="B23">
        <v>62</v>
      </c>
      <c r="C23" t="s">
        <v>12</v>
      </c>
      <c r="D23" t="s">
        <v>13</v>
      </c>
      <c r="E23" t="s">
        <v>29</v>
      </c>
      <c r="F23" t="s">
        <v>30</v>
      </c>
    </row>
    <row r="24" spans="1:6" x14ac:dyDescent="0.35">
      <c r="A24" t="s">
        <v>60</v>
      </c>
      <c r="B24">
        <v>44</v>
      </c>
      <c r="C24" t="s">
        <v>7</v>
      </c>
      <c r="D24" t="s">
        <v>33</v>
      </c>
      <c r="E24" t="s">
        <v>34</v>
      </c>
      <c r="F24" t="s">
        <v>27</v>
      </c>
    </row>
    <row r="25" spans="1:6" x14ac:dyDescent="0.35">
      <c r="A25" t="s">
        <v>61</v>
      </c>
      <c r="B25">
        <v>57</v>
      </c>
      <c r="C25" t="s">
        <v>12</v>
      </c>
      <c r="D25" t="s">
        <v>17</v>
      </c>
      <c r="E25" t="s">
        <v>18</v>
      </c>
      <c r="F25" t="s">
        <v>19</v>
      </c>
    </row>
    <row r="26" spans="1:6" x14ac:dyDescent="0.35">
      <c r="A26" t="s">
        <v>62</v>
      </c>
      <c r="B26">
        <v>21</v>
      </c>
      <c r="C26" t="s">
        <v>7</v>
      </c>
      <c r="D26" t="s">
        <v>25</v>
      </c>
      <c r="E26" t="s">
        <v>39</v>
      </c>
      <c r="F26" t="s">
        <v>30</v>
      </c>
    </row>
    <row r="27" spans="1:6" x14ac:dyDescent="0.35">
      <c r="A27" t="s">
        <v>63</v>
      </c>
      <c r="B27">
        <v>68</v>
      </c>
      <c r="C27" t="s">
        <v>12</v>
      </c>
      <c r="D27" t="s">
        <v>21</v>
      </c>
      <c r="E27" t="s">
        <v>22</v>
      </c>
      <c r="F27" t="s">
        <v>23</v>
      </c>
    </row>
    <row r="28" spans="1:6" x14ac:dyDescent="0.35">
      <c r="A28" t="s">
        <v>64</v>
      </c>
      <c r="B28">
        <v>32</v>
      </c>
      <c r="C28" t="s">
        <v>7</v>
      </c>
      <c r="D28" t="s">
        <v>13</v>
      </c>
      <c r="E28" t="s">
        <v>29</v>
      </c>
      <c r="F28" t="s">
        <v>44</v>
      </c>
    </row>
    <row r="29" spans="1:6" x14ac:dyDescent="0.35">
      <c r="A29" t="s">
        <v>65</v>
      </c>
      <c r="B29">
        <v>55</v>
      </c>
      <c r="C29" t="s">
        <v>12</v>
      </c>
      <c r="D29" t="s">
        <v>33</v>
      </c>
      <c r="E29" t="s">
        <v>34</v>
      </c>
      <c r="F29" t="s">
        <v>27</v>
      </c>
    </row>
    <row r="30" spans="1:6" x14ac:dyDescent="0.35">
      <c r="A30" t="s">
        <v>66</v>
      </c>
      <c r="B30">
        <v>43</v>
      </c>
      <c r="C30" t="s">
        <v>7</v>
      </c>
      <c r="D30" t="s">
        <v>17</v>
      </c>
      <c r="E30" t="s">
        <v>36</v>
      </c>
      <c r="F30" t="s">
        <v>37</v>
      </c>
    </row>
    <row r="31" spans="1:6" x14ac:dyDescent="0.35">
      <c r="A31" t="s">
        <v>67</v>
      </c>
      <c r="B31">
        <v>76</v>
      </c>
      <c r="C31" t="s">
        <v>12</v>
      </c>
      <c r="D31" t="s">
        <v>13</v>
      </c>
      <c r="E31" t="s">
        <v>14</v>
      </c>
      <c r="F3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1550-B92D-409F-924D-1B1B15EA37A1}">
  <dimension ref="A3:B10"/>
  <sheetViews>
    <sheetView workbookViewId="0">
      <selection activeCell="N19" sqref="N19"/>
    </sheetView>
  </sheetViews>
  <sheetFormatPr defaultRowHeight="14.5" x14ac:dyDescent="0.35"/>
  <cols>
    <col min="1" max="1" width="12" bestFit="1" customWidth="1"/>
    <col min="2" max="2" width="12.453125" bestFit="1" customWidth="1"/>
  </cols>
  <sheetData>
    <row r="3" spans="1:2" x14ac:dyDescent="0.35">
      <c r="A3" s="1" t="s">
        <v>3</v>
      </c>
      <c r="B3" t="s">
        <v>69</v>
      </c>
    </row>
    <row r="4" spans="1:2" x14ac:dyDescent="0.35">
      <c r="A4" s="2" t="s">
        <v>8</v>
      </c>
      <c r="B4" s="3">
        <v>4</v>
      </c>
    </row>
    <row r="5" spans="1:2" x14ac:dyDescent="0.35">
      <c r="A5" s="2" t="s">
        <v>21</v>
      </c>
      <c r="B5" s="3">
        <v>5</v>
      </c>
    </row>
    <row r="6" spans="1:2" x14ac:dyDescent="0.35">
      <c r="A6" s="2" t="s">
        <v>17</v>
      </c>
      <c r="B6" s="3">
        <v>5</v>
      </c>
    </row>
    <row r="7" spans="1:2" x14ac:dyDescent="0.35">
      <c r="A7" s="2" t="s">
        <v>13</v>
      </c>
      <c r="B7" s="3">
        <v>7</v>
      </c>
    </row>
    <row r="8" spans="1:2" x14ac:dyDescent="0.35">
      <c r="A8" s="2" t="s">
        <v>33</v>
      </c>
      <c r="B8" s="3">
        <v>5</v>
      </c>
    </row>
    <row r="9" spans="1:2" x14ac:dyDescent="0.35">
      <c r="A9" s="2" t="s">
        <v>25</v>
      </c>
      <c r="B9" s="3">
        <v>4</v>
      </c>
    </row>
    <row r="10" spans="1:2" x14ac:dyDescent="0.35">
      <c r="A10" s="2" t="s">
        <v>70</v>
      </c>
      <c r="B10" s="3">
        <v>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CF73-F888-4797-B51F-11E7E2BFF5A5}">
  <dimension ref="A3:B6"/>
  <sheetViews>
    <sheetView workbookViewId="0">
      <selection activeCell="B14" sqref="B14"/>
    </sheetView>
  </sheetViews>
  <sheetFormatPr defaultRowHeight="14.5" x14ac:dyDescent="0.35"/>
  <cols>
    <col min="1" max="1" width="10.7265625" bestFit="1" customWidth="1"/>
    <col min="2" max="2" width="12.453125" bestFit="1" customWidth="1"/>
  </cols>
  <sheetData>
    <row r="3" spans="1:2" x14ac:dyDescent="0.35">
      <c r="A3" s="1" t="s">
        <v>2</v>
      </c>
      <c r="B3" t="s">
        <v>69</v>
      </c>
    </row>
    <row r="4" spans="1:2" x14ac:dyDescent="0.35">
      <c r="A4" s="2" t="s">
        <v>7</v>
      </c>
      <c r="B4" s="3">
        <v>15</v>
      </c>
    </row>
    <row r="5" spans="1:2" x14ac:dyDescent="0.35">
      <c r="A5" s="2" t="s">
        <v>12</v>
      </c>
      <c r="B5" s="3">
        <v>15</v>
      </c>
    </row>
    <row r="6" spans="1:2" x14ac:dyDescent="0.35">
      <c r="A6" s="2" t="s">
        <v>70</v>
      </c>
      <c r="B6" s="3">
        <v>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8020-D7C6-4806-A531-678C92838CA8}">
  <dimension ref="A3:B17"/>
  <sheetViews>
    <sheetView workbookViewId="0">
      <selection activeCell="N13" sqref="N13"/>
    </sheetView>
  </sheetViews>
  <sheetFormatPr defaultRowHeight="14.5" x14ac:dyDescent="0.35"/>
  <cols>
    <col min="1" max="1" width="13.453125" bestFit="1" customWidth="1"/>
    <col min="2" max="2" width="13.08984375" bestFit="1" customWidth="1"/>
  </cols>
  <sheetData>
    <row r="3" spans="1:2" x14ac:dyDescent="0.35">
      <c r="A3" s="1" t="s">
        <v>77</v>
      </c>
      <c r="B3" t="s">
        <v>78</v>
      </c>
    </row>
    <row r="4" spans="1:2" x14ac:dyDescent="0.35">
      <c r="A4" s="2" t="s">
        <v>50</v>
      </c>
      <c r="B4" s="3">
        <v>1</v>
      </c>
    </row>
    <row r="5" spans="1:2" x14ac:dyDescent="0.35">
      <c r="A5" s="2" t="s">
        <v>58</v>
      </c>
      <c r="B5" s="3">
        <v>1</v>
      </c>
    </row>
    <row r="6" spans="1:2" x14ac:dyDescent="0.35">
      <c r="A6" s="2" t="s">
        <v>22</v>
      </c>
      <c r="B6" s="3">
        <v>2</v>
      </c>
    </row>
    <row r="7" spans="1:2" x14ac:dyDescent="0.35">
      <c r="A7" s="2" t="s">
        <v>18</v>
      </c>
      <c r="B7" s="3">
        <v>2</v>
      </c>
    </row>
    <row r="8" spans="1:2" x14ac:dyDescent="0.35">
      <c r="A8" s="2" t="s">
        <v>26</v>
      </c>
      <c r="B8" s="3">
        <v>2</v>
      </c>
    </row>
    <row r="9" spans="1:2" x14ac:dyDescent="0.35">
      <c r="A9" s="2" t="s">
        <v>41</v>
      </c>
      <c r="B9" s="3">
        <v>2</v>
      </c>
    </row>
    <row r="10" spans="1:2" x14ac:dyDescent="0.35">
      <c r="A10" s="2" t="s">
        <v>46</v>
      </c>
      <c r="B10" s="3">
        <v>2</v>
      </c>
    </row>
    <row r="11" spans="1:2" x14ac:dyDescent="0.35">
      <c r="A11" s="2" t="s">
        <v>36</v>
      </c>
      <c r="B11" s="3">
        <v>2</v>
      </c>
    </row>
    <row r="12" spans="1:2" x14ac:dyDescent="0.35">
      <c r="A12" s="2" t="s">
        <v>34</v>
      </c>
      <c r="B12" s="3">
        <v>3</v>
      </c>
    </row>
    <row r="13" spans="1:2" x14ac:dyDescent="0.35">
      <c r="A13" s="2" t="s">
        <v>39</v>
      </c>
      <c r="B13" s="3">
        <v>3</v>
      </c>
    </row>
    <row r="14" spans="1:2" x14ac:dyDescent="0.35">
      <c r="A14" s="2" t="s">
        <v>9</v>
      </c>
      <c r="B14" s="3">
        <v>3</v>
      </c>
    </row>
    <row r="15" spans="1:2" x14ac:dyDescent="0.35">
      <c r="A15" s="2" t="s">
        <v>14</v>
      </c>
      <c r="B15" s="3">
        <v>3</v>
      </c>
    </row>
    <row r="16" spans="1:2" x14ac:dyDescent="0.35">
      <c r="A16" s="2" t="s">
        <v>29</v>
      </c>
      <c r="B16" s="3">
        <v>4</v>
      </c>
    </row>
    <row r="17" spans="1:2" x14ac:dyDescent="0.35">
      <c r="A17" s="2" t="s">
        <v>70</v>
      </c>
      <c r="B17" s="3">
        <v>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85E5-787F-4BD1-9BCA-E44E5A43D04C}">
  <dimension ref="A3:B10"/>
  <sheetViews>
    <sheetView workbookViewId="0">
      <selection activeCell="P11" sqref="P11"/>
    </sheetView>
  </sheetViews>
  <sheetFormatPr defaultRowHeight="14.5" x14ac:dyDescent="0.35"/>
  <cols>
    <col min="1" max="1" width="12.36328125" bestFit="1" customWidth="1"/>
    <col min="2" max="2" width="17.08984375" bestFit="1" customWidth="1"/>
  </cols>
  <sheetData>
    <row r="3" spans="1:2" x14ac:dyDescent="0.35">
      <c r="A3" s="1" t="s">
        <v>79</v>
      </c>
      <c r="B3" t="s">
        <v>69</v>
      </c>
    </row>
    <row r="4" spans="1:2" x14ac:dyDescent="0.35">
      <c r="A4" s="2" t="s">
        <v>71</v>
      </c>
      <c r="B4" s="3">
        <v>6</v>
      </c>
    </row>
    <row r="5" spans="1:2" x14ac:dyDescent="0.35">
      <c r="A5" s="2" t="s">
        <v>72</v>
      </c>
      <c r="B5" s="3">
        <v>6</v>
      </c>
    </row>
    <row r="6" spans="1:2" x14ac:dyDescent="0.35">
      <c r="A6" s="2" t="s">
        <v>73</v>
      </c>
      <c r="B6" s="3">
        <v>6</v>
      </c>
    </row>
    <row r="7" spans="1:2" x14ac:dyDescent="0.35">
      <c r="A7" s="2" t="s">
        <v>74</v>
      </c>
      <c r="B7" s="3">
        <v>5</v>
      </c>
    </row>
    <row r="8" spans="1:2" x14ac:dyDescent="0.35">
      <c r="A8" s="2" t="s">
        <v>75</v>
      </c>
      <c r="B8" s="3">
        <v>5</v>
      </c>
    </row>
    <row r="9" spans="1:2" x14ac:dyDescent="0.35">
      <c r="A9" s="2" t="s">
        <v>76</v>
      </c>
      <c r="B9" s="3">
        <v>2</v>
      </c>
    </row>
    <row r="10" spans="1:2" x14ac:dyDescent="0.35">
      <c r="A10" s="2" t="s">
        <v>70</v>
      </c>
      <c r="B10" s="3">
        <v>30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68BE-6C19-4BDE-A1FD-53DAF5112AAC}">
  <dimension ref="A1:J54"/>
  <sheetViews>
    <sheetView tabSelected="1" zoomScale="32" zoomScaleNormal="32" workbookViewId="0">
      <selection activeCell="N50" sqref="N50"/>
    </sheetView>
  </sheetViews>
  <sheetFormatPr defaultRowHeight="14.5" x14ac:dyDescent="0.35"/>
  <cols>
    <col min="1" max="1" width="24.81640625" customWidth="1"/>
    <col min="3" max="3" width="33.54296875" customWidth="1"/>
    <col min="5" max="5" width="27.90625" customWidth="1"/>
    <col min="7" max="7" width="29" customWidth="1"/>
  </cols>
  <sheetData>
    <row r="1" spans="1:8" ht="36" x14ac:dyDescent="0.8">
      <c r="A1" s="8" t="s">
        <v>80</v>
      </c>
      <c r="B1" s="9"/>
      <c r="C1" s="9"/>
      <c r="D1" s="9"/>
      <c r="E1" s="9"/>
      <c r="F1" s="9"/>
      <c r="G1" s="9"/>
      <c r="H1" s="9"/>
    </row>
    <row r="2" spans="1:8" x14ac:dyDescent="0.35">
      <c r="A2" s="4"/>
    </row>
    <row r="3" spans="1:8" ht="26" x14ac:dyDescent="0.6">
      <c r="A3" s="5" t="s">
        <v>68</v>
      </c>
      <c r="B3" s="6"/>
      <c r="C3" s="5" t="s">
        <v>81</v>
      </c>
      <c r="D3" s="6"/>
      <c r="E3" s="5" t="s">
        <v>82</v>
      </c>
      <c r="F3" s="6"/>
      <c r="G3" s="5" t="s">
        <v>83</v>
      </c>
      <c r="H3" s="6"/>
    </row>
    <row r="4" spans="1:8" ht="26" x14ac:dyDescent="0.6">
      <c r="A4" s="5">
        <f>COUNTA('Healthcare Data'!A2:A31)</f>
        <v>30</v>
      </c>
      <c r="B4" s="6"/>
      <c r="C4" s="5">
        <f>AVERAGE(Table1[Age])</f>
        <v>45.9</v>
      </c>
      <c r="D4" s="6"/>
      <c r="E4" s="5">
        <f>COUNTIF('Healthcare Data'!C2:C31,"Female")</f>
        <v>15</v>
      </c>
      <c r="F4" s="6"/>
      <c r="G4" s="5">
        <f xml:space="preserve"> COUNTIF('Healthcare Data'!C2:C31,"male")</f>
        <v>15</v>
      </c>
      <c r="H4" s="6"/>
    </row>
    <row r="5" spans="1:8" ht="26" x14ac:dyDescent="0.6">
      <c r="A5" s="7"/>
      <c r="B5" s="6"/>
      <c r="C5" s="6"/>
      <c r="D5" s="6"/>
      <c r="E5" s="6"/>
      <c r="F5" s="6"/>
      <c r="G5" s="6"/>
      <c r="H5" s="6"/>
    </row>
    <row r="50" spans="1:10" ht="28.5" x14ac:dyDescent="0.65">
      <c r="A50" s="11" t="s">
        <v>84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26" x14ac:dyDescent="0.6">
      <c r="A51" s="10" t="s">
        <v>85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26" x14ac:dyDescent="0.6">
      <c r="A52" s="10" t="s">
        <v>86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26" x14ac:dyDescent="0.6">
      <c r="A53" s="10" t="s">
        <v>87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ht="26" x14ac:dyDescent="0.6">
      <c r="A54" s="10" t="s">
        <v>88</v>
      </c>
      <c r="B54" s="10"/>
      <c r="C54" s="10"/>
      <c r="D54" s="10"/>
      <c r="E54" s="10"/>
      <c r="F54" s="10"/>
      <c r="G54" s="10"/>
      <c r="H54" s="10"/>
      <c r="I54" s="10"/>
      <c r="J54" s="10"/>
    </row>
  </sheetData>
  <mergeCells count="6">
    <mergeCell ref="A51:J51"/>
    <mergeCell ref="A52:J52"/>
    <mergeCell ref="A53:J53"/>
    <mergeCell ref="A54:J54"/>
    <mergeCell ref="A1:H1"/>
    <mergeCell ref="A50:J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Healthcare Data</vt:lpstr>
      <vt:lpstr>Disease Analysis</vt:lpstr>
      <vt:lpstr>Gender Analysis</vt:lpstr>
      <vt:lpstr>Medication Usage Analysis</vt:lpstr>
      <vt:lpstr>Age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2026-09-07T03:54:46Z</dcterms:created>
  <dcterms:modified xsi:type="dcterms:W3CDTF">2026-09-07T07:56:15Z</dcterms:modified>
</cp:coreProperties>
</file>