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D:\DHIVYA\Portfolio\"/>
    </mc:Choice>
  </mc:AlternateContent>
  <xr:revisionPtr revIDLastSave="0" documentId="8_{12DBE0A7-AB8C-4485-AACC-D9EB066D81AA}" xr6:coauthVersionLast="47" xr6:coauthVersionMax="47" xr10:uidLastSave="{00000000-0000-0000-0000-000000000000}"/>
  <bookViews>
    <workbookView xWindow="-110" yWindow="-110" windowWidth="19420" windowHeight="10300" firstSheet="2" activeTab="6" xr2:uid="{8E828F44-4EFD-42D6-8922-E55C414B53DB}"/>
  </bookViews>
  <sheets>
    <sheet name="Branded Vs Generic" sheetId="2" r:id="rId1"/>
    <sheet name="Top Selling Medicine" sheetId="3" r:id="rId2"/>
    <sheet name="Top Revenue Medicine" sheetId="4" r:id="rId3"/>
    <sheet name="Revenue growth" sheetId="5" r:id="rId4"/>
    <sheet name="Monthly Revenue" sheetId="7" r:id="rId5"/>
    <sheet name="Raw Data" sheetId="1" r:id="rId6"/>
    <sheet name="Dashboard" sheetId="9" r:id="rId7"/>
  </sheets>
  <definedNames>
    <definedName name="Slicer_Category">#N/A</definedName>
    <definedName name="Slicer_Medicine">#N/A</definedName>
    <definedName name="Slicer_Year">#N/A</definedName>
  </definedNames>
  <calcPr calcId="191029"/>
  <pivotCaches>
    <pivotCache cacheId="1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9" l="1"/>
  <c r="F4" i="9"/>
  <c r="D4" i="9"/>
  <c r="B4" i="9"/>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D4" i="4"/>
  <c r="D5" i="4"/>
  <c r="D5" i="3"/>
  <c r="D4" i="3"/>
  <c r="D4" i="5"/>
  <c r="J4" i="9"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alcChain>
</file>

<file path=xl/sharedStrings.xml><?xml version="1.0" encoding="utf-8"?>
<sst xmlns="http://schemas.openxmlformats.org/spreadsheetml/2006/main" count="354" uniqueCount="98">
  <si>
    <t>Sale ID</t>
  </si>
  <si>
    <t>Sale Date</t>
  </si>
  <si>
    <t>Medicine</t>
  </si>
  <si>
    <t>Category</t>
  </si>
  <si>
    <t>Type</t>
  </si>
  <si>
    <t>Manufacturer</t>
  </si>
  <si>
    <t>Units Sold</t>
  </si>
  <si>
    <t>Region</t>
  </si>
  <si>
    <t>S001</t>
  </si>
  <si>
    <t>Paracetamol 500mg</t>
  </si>
  <si>
    <t>Pain Relief</t>
  </si>
  <si>
    <t>Generic</t>
  </si>
  <si>
    <t>PharmaCare</t>
  </si>
  <si>
    <t>Selangor</t>
  </si>
  <si>
    <t>S002</t>
  </si>
  <si>
    <t>Panadol 500mg</t>
  </si>
  <si>
    <t>Branded</t>
  </si>
  <si>
    <t>GSK</t>
  </si>
  <si>
    <t>Kuala Lumpur</t>
  </si>
  <si>
    <t>S003</t>
  </si>
  <si>
    <t>Amoxicillin 500mg</t>
  </si>
  <si>
    <t>Antibiotic</t>
  </si>
  <si>
    <t>Medigen</t>
  </si>
  <si>
    <t>S004</t>
  </si>
  <si>
    <t>Augmentin 625mg</t>
  </si>
  <si>
    <t>S005</t>
  </si>
  <si>
    <t>Ibuprofen 400mg</t>
  </si>
  <si>
    <t>Penang</t>
  </si>
  <si>
    <t>S006</t>
  </si>
  <si>
    <t>Neurobion</t>
  </si>
  <si>
    <t>Vitamins</t>
  </si>
  <si>
    <t>Merck</t>
  </si>
  <si>
    <t>Johor</t>
  </si>
  <si>
    <t>S007</t>
  </si>
  <si>
    <t>Omeprazole 20mg</t>
  </si>
  <si>
    <t>Gastric</t>
  </si>
  <si>
    <t>S008</t>
  </si>
  <si>
    <t>Nexium 20mg</t>
  </si>
  <si>
    <t>AstraZeneca</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</si>
  <si>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</si>
  <si>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</si>
  <si>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</si>
  <si>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</si>
  <si>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</si>
  <si>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</si>
  <si>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</si>
  <si>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</si>
  <si>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</si>
  <si>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</si>
  <si>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</si>
  <si>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</si>
  <si>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</si>
  <si>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</si>
  <si>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</si>
  <si>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</si>
  <si>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</si>
  <si>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</si>
  <si>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</si>
  <si>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</si>
  <si>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</si>
  <si>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</si>
  <si>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</si>
  <si>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</si>
  <si>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</si>
  <si>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</si>
  <si>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</si>
  <si>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</si>
  <si>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</si>
  <si>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</si>
  <si>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</si>
  <si>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</si>
  <si>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</si>
  <si>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</si>
  <si>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</si>
  <si>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</si>
  <si>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</si>
  <si>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</si>
  <si>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</si>
  <si>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</si>
  <si>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</si>
  <si>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</si>
  <si>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 xml:space="preserve">Unit Price </t>
  </si>
  <si>
    <t xml:space="preserve">Revenue </t>
  </si>
  <si>
    <t>Month</t>
  </si>
  <si>
    <t>Row Labels</t>
  </si>
  <si>
    <t>Grand Total</t>
  </si>
  <si>
    <t>Sum of Units Sold</t>
  </si>
  <si>
    <t xml:space="preserve">Sum of Revenue </t>
  </si>
  <si>
    <t>Revenue Growth</t>
  </si>
  <si>
    <t xml:space="preserve">Medicine </t>
  </si>
  <si>
    <t>Top Selling Medicine</t>
  </si>
  <si>
    <t>Top Revenue Medicine</t>
  </si>
  <si>
    <t>Year</t>
  </si>
  <si>
    <t>Total Revenue</t>
  </si>
  <si>
    <t>Total units sold</t>
  </si>
  <si>
    <t>Pharmacy sales  &amp; Drug Analysis Dashboard</t>
  </si>
  <si>
    <t>Top-Selling  medicine</t>
  </si>
  <si>
    <t xml:space="preserve"> Revenue Growth (Jan - 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</si>
</sst>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5" formatCode="[$MYR]\ #,##0.00"/>
    <numFmt numFmtId="176" formatCode="[$₹-449]\ #,##0.00"/>
  </numFmts>
  <fonts count="8" x14ac:knownFonts="1">
    <font>
      <sz val="11"/>
      <color theme="1"/>
      <name val="Calibri"/>
      <family val="2"/>
      <scheme val="minor"/>
    </font>
    <font>
      <b/>
      <sz val="12"/>
      <color theme="1"/>
      <name val="Calibri"/>
      <family val="2"/>
      <scheme val="minor"/>
    </font>
    <font>
      <b/>
      <sz val="16"/>
      <color theme="1"/>
      <name val="Calibri"/>
      <family val="2"/>
      <scheme val="minor"/>
    </font>
    <font>
      <b/>
      <sz val="20"/>
      <color theme="1"/>
      <name val="Calibri"/>
      <family val="2"/>
      <scheme val="minor"/>
    </font>
    <font>
      <sz val="12"/>
      <color theme="1"/>
      <name val="Calibri"/>
      <family val="2"/>
      <scheme val="minor"/>
    </font>
    <font>
      <sz val="18"/>
      <color theme="1"/>
      <name val="Calibri"/>
      <family val="2"/>
      <scheme val="minor"/>
    </font>
    <font>
      <sz val="28"/>
      <color theme="1"/>
      <name val="Arial"/>
      <family val="2"/>
    </font>
    <font>
      <sz val="28"/>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4" fillId="0" borderId="0" xfId="0" applyFont="1"/>
    <xf numFmtId="0" fontId="5" fillId="0" borderId="0" xfId="0" applyFont="1"/>
    <xf numFmtId="0" fontId="2" fillId="2" borderId="3" xfId="0" applyFont="1" applyFill="1" applyBorder="1"/>
    <xf numFmtId="0" fontId="3" fillId="2" borderId="2" xfId="0" applyFont="1" applyFill="1" applyBorder="1" applyAlignment="1">
      <alignment horizontal="left"/>
    </xf>
    <xf numFmtId="0" fontId="2" fillId="2" borderId="1" xfId="0" applyFont="1" applyFill="1" applyBorder="1"/>
    <xf numFmtId="175" fontId="0" fillId="0" borderId="0" xfId="0" applyNumberFormat="1"/>
    <xf numFmtId="176" fontId="0" fillId="0" borderId="0" xfId="0" applyNumberFormat="1"/>
    <xf numFmtId="10" fontId="3" fillId="2" borderId="2" xfId="0" applyNumberFormat="1" applyFont="1" applyFill="1" applyBorder="1"/>
    <xf numFmtId="0" fontId="2" fillId="0" borderId="0" xfId="0" applyFont="1" applyAlignment="1">
      <alignment horizontal="left"/>
    </xf>
    <xf numFmtId="0" fontId="1" fillId="3" borderId="1" xfId="0" applyFont="1" applyFill="1" applyBorder="1"/>
    <xf numFmtId="175" fontId="2" fillId="3" borderId="2" xfId="0" applyNumberFormat="1" applyFont="1" applyFill="1" applyBorder="1" applyAlignment="1">
      <alignment horizontal="left"/>
    </xf>
    <xf numFmtId="1" fontId="2" fillId="3" borderId="2" xfId="0" applyNumberFormat="1" applyFont="1" applyFill="1" applyBorder="1" applyAlignment="1">
      <alignment horizontal="left"/>
    </xf>
    <xf numFmtId="0" fontId="2" fillId="3" borderId="2" xfId="0" applyFont="1" applyFill="1" applyBorder="1" applyAlignment="1">
      <alignment horizontal="left"/>
    </xf>
    <xf numFmtId="10" fontId="2" fillId="3" borderId="2" xfId="0" applyNumberFormat="1" applyFont="1" applyFill="1" applyBorder="1" applyAlignment="1">
      <alignment horizontal="left"/>
    </xf>
    <xf numFmtId="0" fontId="6" fillId="4" borderId="0" xfId="0" applyFont="1" applyFill="1" applyAlignment="1">
      <alignment horizontal="center"/>
    </xf>
    <xf numFmtId="0" fontId="7" fillId="4" borderId="0" xfId="0" applyFont="1" applyFill="1" applyAlignment="1">
      <alignment horizontal="center"/>
    </xf>
  </cellXfs>
  <cellStyles count="1">
    <cellStyle name="Normal" xfId="0" builtinId="0"/>
  </cellStyles>
  <dxfs count="5">
    <dxf>
      <numFmt numFmtId="0" formatCode="General"/>
    </dxf>
    <dxf>
      <numFmt numFmtId="0" formatCode="General"/>
    </dxf>
    <dxf>
      <numFmt numFmtId="2" formatCode="0.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[Task3PharmacySales&amp;DrugAnalysis.xlsx]Branded Vs Generic!PivotTable1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'Branded Vs Generic'!$B$3</c:f>
              <c:strCache>
                <c:ptCount val="1"/>
                <c:pt idx="0">
                  <c:v>Sum of Revenue </c:v>
                </c:pt>
              </c:strCache>
            </c:strRef>
          </c:tx>
          <c:spPr>
            <a:solidFill>
              <a:schemeClr val="accent1"/>
            </a:solidFill>
            <a:ln>
              <a:noFill/>
            </a:ln>
            <a:effectLst/>
          </c:spPr>
          <c:invertIfNegative val="0"/>
          <c:cat>
            <c:strRef>
              <c:f>'Branded Vs Generic'!$A$4:$A$6</c:f>
              <c:strCache>
                <c:ptCount val="2"/>
                <c:pt idx="0">
                  <c:v>Branded</c:v>
                </c:pt>
                <c:pt idx="1">
                  <c:v>Generic</c:v>
                </c:pt>
              </c:strCache>
            </c:strRef>
          </c:cat>
          <c:val>
            <c:numRef>
              <c:f>'Branded Vs Generic'!$B$4:$B$6</c:f>
              <c:numCache>
                <c:formatCode>General</c:formatCode>
                <c:ptCount val="2"/>
                <c:pt idx="0">
                  <c:v>5178.3999999999996</c:v>
                </c:pt>
                <c:pt idx="1">
                  <c:v>2499.4</c:v>
                </c:pt>
              </c:numCache>
            </c:numRef>
          </c:val>
          <c:extLst>
            <c:ext xmlns:c16="http://schemas.microsoft.com/office/drawing/2014/chart" uri="{C3380CC4-5D6E-409C-BE32-E72D297353CC}">
              <c16:uniqueId val="{00000000-DBD2-415F-A482-69D039AC674F}"/>
            </c:ext>
          </c:extLst>
        </c:ser>
        <c:ser>
          <c:idx val="1"/>
          <c:order val="1"/>
          <c:tx>
            <c:strRef>
              <c:f>'Branded Vs Generic'!$C$3</c:f>
              <c:strCache>
                <c:ptCount val="1"/>
                <c:pt idx="0">
                  <c:v>Sum of Units Sold</c:v>
                </c:pt>
              </c:strCache>
            </c:strRef>
          </c:tx>
          <c:spPr>
            <a:solidFill>
              <a:schemeClr val="accent2"/>
            </a:solidFill>
            <a:ln>
              <a:noFill/>
            </a:ln>
            <a:effectLst/>
          </c:spPr>
          <c:invertIfNegative val="0"/>
          <c:cat>
            <c:strRef>
              <c:f>'Branded Vs Generic'!$A$4:$A$6</c:f>
              <c:strCache>
                <c:ptCount val="2"/>
                <c:pt idx="0">
                  <c:v>Branded</c:v>
                </c:pt>
                <c:pt idx="1">
                  <c:v>Generic</c:v>
                </c:pt>
              </c:strCache>
            </c:strRef>
          </c:cat>
          <c:val>
            <c:numRef>
              <c:f>'Branded Vs Generic'!$C$4:$C$6</c:f>
              <c:numCache>
                <c:formatCode>General</c:formatCode>
                <c:ptCount val="2"/>
                <c:pt idx="0">
                  <c:v>1892</c:v>
                </c:pt>
                <c:pt idx="1">
                  <c:v>2653</c:v>
                </c:pt>
              </c:numCache>
            </c:numRef>
          </c:val>
          <c:extLst>
            <c:ext xmlns:c16="http://schemas.microsoft.com/office/drawing/2014/chart" uri="{C3380CC4-5D6E-409C-BE32-E72D297353CC}">
              <c16:uniqueId val="{00000001-DBD2-415F-A482-69D039AC674F}"/>
            </c:ext>
          </c:extLst>
        </c:ser>
        <c:dLbls>
          <c:showLegendKey val="0"/>
          <c:showVal val="0"/>
          <c:showCatName val="0"/>
          <c:showSerName val="0"/>
          <c:showPercent val="0"/>
          <c:showBubbleSize val="0"/>
        </c:dLbls>
        <c:gapWidth val="219"/>
        <c:overlap val="-27"/>
        <c:axId val="1908373039"/>
        <c:axId val="1908373519"/>
      </c:barChart>
      <c:catAx>
        <c:axId val="190837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73519"/>
        <c:crosses val="autoZero"/>
        <c:auto val="1"/>
        <c:lblAlgn val="ctr"/>
        <c:lblOffset val="100"/>
        <c:noMultiLvlLbl val="0"/>
      </c:catAx>
      <c:valAx>
        <c:axId val="190837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7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[Task3PharmacySales&amp;DrugAnalysis.xlsx]Top Selling Medicine!PivotTable2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medicines by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6212548903085E-2"/>
          <c:y val="0.14762189054726371"/>
          <c:w val="0.82285990194621894"/>
          <c:h val="0.71632514592392371"/>
        </c:manualLayout>
      </c:layout>
      <c:barChart>
        <c:barDir val="col"/>
        <c:grouping val="clustered"/>
        <c:varyColors val="0"/>
        <c:ser>
          <c:idx val="0"/>
          <c:order val="0"/>
          <c:tx>
            <c:strRef>
              <c:f>'Top Selling Medicine'!$B$3</c:f>
              <c:strCache>
                <c:ptCount val="1"/>
                <c:pt idx="0">
                  <c:v>Total</c:v>
                </c:pt>
              </c:strCache>
            </c:strRef>
          </c:tx>
          <c:spPr>
            <a:solidFill>
              <a:schemeClr val="accent1"/>
            </a:solidFill>
            <a:ln>
              <a:noFill/>
            </a:ln>
            <a:effectLst/>
          </c:spPr>
          <c:invertIfNegative val="0"/>
          <c:cat>
            <c:strRef>
              <c:f>'Top Selling Medicine'!$A$4:$A$12</c:f>
              <c:strCache>
                <c:ptCount val="8"/>
                <c:pt idx="0">
                  <c:v>Paracetamol 500mg</c:v>
                </c:pt>
                <c:pt idx="1">
                  <c:v>Panadol 500mg</c:v>
                </c:pt>
                <c:pt idx="2">
                  <c:v>Ibuprofen 400mg</c:v>
                </c:pt>
                <c:pt idx="3">
                  <c:v>Omeprazole 20mg</c:v>
                </c:pt>
                <c:pt idx="4">
                  <c:v>Amoxicillin 500mg</c:v>
                </c:pt>
                <c:pt idx="5">
                  <c:v>Neurobion</c:v>
                </c:pt>
                <c:pt idx="6">
                  <c:v>Augmentin 625mg</c:v>
                </c:pt>
                <c:pt idx="7">
                  <c:v>Nexium 20mg</c:v>
                </c:pt>
              </c:strCache>
            </c:strRef>
          </c:cat>
          <c:val>
            <c:numRef>
              <c:f>'Top Selling Medicine'!$B$4:$B$12</c:f>
              <c:numCache>
                <c:formatCode>General</c:formatCode>
                <c:ptCount val="8"/>
                <c:pt idx="0">
                  <c:v>1080</c:v>
                </c:pt>
                <c:pt idx="1">
                  <c:v>827</c:v>
                </c:pt>
                <c:pt idx="2">
                  <c:v>566</c:v>
                </c:pt>
                <c:pt idx="3">
                  <c:v>518</c:v>
                </c:pt>
                <c:pt idx="4">
                  <c:v>489</c:v>
                </c:pt>
                <c:pt idx="5">
                  <c:v>395</c:v>
                </c:pt>
                <c:pt idx="6">
                  <c:v>360</c:v>
                </c:pt>
                <c:pt idx="7">
                  <c:v>310</c:v>
                </c:pt>
              </c:numCache>
            </c:numRef>
          </c:val>
          <c:extLst>
            <c:ext xmlns:c16="http://schemas.microsoft.com/office/drawing/2014/chart" uri="{C3380CC4-5D6E-409C-BE32-E72D297353CC}">
              <c16:uniqueId val="{00000000-FA62-475A-9930-EE96E145B0B1}"/>
            </c:ext>
          </c:extLst>
        </c:ser>
        <c:dLbls>
          <c:showLegendKey val="0"/>
          <c:showVal val="0"/>
          <c:showCatName val="0"/>
          <c:showSerName val="0"/>
          <c:showPercent val="0"/>
          <c:showBubbleSize val="0"/>
        </c:dLbls>
        <c:gapWidth val="219"/>
        <c:overlap val="-27"/>
        <c:axId val="110144847"/>
        <c:axId val="110145327"/>
      </c:barChart>
      <c:catAx>
        <c:axId val="1101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5327"/>
        <c:crosses val="autoZero"/>
        <c:auto val="1"/>
        <c:lblAlgn val="ctr"/>
        <c:lblOffset val="100"/>
        <c:noMultiLvlLbl val="0"/>
      </c:catAx>
      <c:valAx>
        <c:axId val="11014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[Task3PharmacySales&amp;DrugAnalysis.xlsx]Monthly Revenue!PivotTable5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Monthly</a:t>
            </a:r>
            <a:r>
              <a:rPr lang="en-US" baseline="0"/>
              <a:t>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Revenue'!$A$4:$A$10</c:f>
              <c:strCache>
                <c:ptCount val="6"/>
                <c:pt idx="0">
                  <c:v>1</c:v>
                </c:pt>
                <c:pt idx="1">
                  <c:v>2</c:v>
                </c:pt>
                <c:pt idx="2">
                  <c:v>3</c:v>
                </c:pt>
                <c:pt idx="3">
                  <c:v>4</c:v>
                </c:pt>
                <c:pt idx="4">
                  <c:v>5</c:v>
                </c:pt>
                <c:pt idx="5">
                  <c:v>6</c:v>
                </c:pt>
              </c:strCache>
            </c:strRef>
          </c:cat>
          <c:val>
            <c:numRef>
              <c:f>'Monthly Revenue'!$B$4:$B$10</c:f>
              <c:numCache>
                <c:formatCode>General</c:formatCode>
                <c:ptCount val="6"/>
                <c:pt idx="0">
                  <c:v>986.5</c:v>
                </c:pt>
                <c:pt idx="1">
                  <c:v>1107.3</c:v>
                </c:pt>
                <c:pt idx="2">
                  <c:v>1203</c:v>
                </c:pt>
                <c:pt idx="3">
                  <c:v>1287.2</c:v>
                </c:pt>
                <c:pt idx="4">
                  <c:v>1370.7999999999997</c:v>
                </c:pt>
                <c:pt idx="5">
                  <c:v>1723</c:v>
                </c:pt>
              </c:numCache>
            </c:numRef>
          </c:val>
          <c:smooth val="0"/>
          <c:extLst>
            <c:ext xmlns:c16="http://schemas.microsoft.com/office/drawing/2014/chart" uri="{C3380CC4-5D6E-409C-BE32-E72D297353CC}">
              <c16:uniqueId val="{00000000-7A1F-46C7-87AA-69F3373331E5}"/>
            </c:ext>
          </c:extLst>
        </c:ser>
        <c:dLbls>
          <c:showLegendKey val="0"/>
          <c:showVal val="0"/>
          <c:showCatName val="0"/>
          <c:showSerName val="0"/>
          <c:showPercent val="0"/>
          <c:showBubbleSize val="0"/>
        </c:dLbls>
        <c:marker val="1"/>
        <c:smooth val="0"/>
        <c:axId val="114849439"/>
        <c:axId val="114848479"/>
      </c:lineChart>
      <c:catAx>
        <c:axId val="11484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8479"/>
        <c:crosses val="autoZero"/>
        <c:auto val="1"/>
        <c:lblAlgn val="ctr"/>
        <c:lblOffset val="100"/>
        <c:noMultiLvlLbl val="0"/>
      </c:catAx>
      <c:valAx>
        <c:axId val="11484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[Task3PharmacySales&amp;DrugAnalysis.xlsx]Top Selling Medicine!PivotTable2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Top-Selling medicines by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6212548903085E-2"/>
          <c:y val="0.14762189054726371"/>
          <c:w val="0.82285990194621894"/>
          <c:h val="0.71632514592392371"/>
        </c:manualLayout>
      </c:layout>
      <c:barChart>
        <c:barDir val="col"/>
        <c:grouping val="clustered"/>
        <c:varyColors val="0"/>
        <c:ser>
          <c:idx val="0"/>
          <c:order val="0"/>
          <c:tx>
            <c:strRef>
              <c:f>'Top Selling Medicine'!$B$3</c:f>
              <c:strCache>
                <c:ptCount val="1"/>
                <c:pt idx="0">
                  <c:v>Total</c:v>
                </c:pt>
              </c:strCache>
            </c:strRef>
          </c:tx>
          <c:spPr>
            <a:solidFill>
              <a:schemeClr val="accent1"/>
            </a:solidFill>
            <a:ln>
              <a:noFill/>
            </a:ln>
            <a:effectLst/>
          </c:spPr>
          <c:invertIfNegative val="0"/>
          <c:cat>
            <c:strRef>
              <c:f>'Top Selling Medicine'!$A$4:$A$12</c:f>
              <c:strCache>
                <c:ptCount val="8"/>
                <c:pt idx="0">
                  <c:v>Paracetamol 500mg</c:v>
                </c:pt>
                <c:pt idx="1">
                  <c:v>Panadol 500mg</c:v>
                </c:pt>
                <c:pt idx="2">
                  <c:v>Ibuprofen 400mg</c:v>
                </c:pt>
                <c:pt idx="3">
                  <c:v>Omeprazole 20mg</c:v>
                </c:pt>
                <c:pt idx="4">
                  <c:v>Amoxicillin 500mg</c:v>
                </c:pt>
                <c:pt idx="5">
                  <c:v>Neurobion</c:v>
                </c:pt>
                <c:pt idx="6">
                  <c:v>Augmentin 625mg</c:v>
                </c:pt>
                <c:pt idx="7">
                  <c:v>Nexium 20mg</c:v>
                </c:pt>
              </c:strCache>
            </c:strRef>
          </c:cat>
          <c:val>
            <c:numRef>
              <c:f>'Top Selling Medicine'!$B$4:$B$12</c:f>
              <c:numCache>
                <c:formatCode>General</c:formatCode>
                <c:ptCount val="8"/>
                <c:pt idx="0">
                  <c:v>1080</c:v>
                </c:pt>
                <c:pt idx="1">
                  <c:v>827</c:v>
                </c:pt>
                <c:pt idx="2">
                  <c:v>566</c:v>
                </c:pt>
                <c:pt idx="3">
                  <c:v>518</c:v>
                </c:pt>
                <c:pt idx="4">
                  <c:v>489</c:v>
                </c:pt>
                <c:pt idx="5">
                  <c:v>395</c:v>
                </c:pt>
                <c:pt idx="6">
                  <c:v>360</c:v>
                </c:pt>
                <c:pt idx="7">
                  <c:v>310</c:v>
                </c:pt>
              </c:numCache>
            </c:numRef>
          </c:val>
          <c:extLst>
            <c:ext xmlns:c16="http://schemas.microsoft.com/office/drawing/2014/chart" uri="{C3380CC4-5D6E-409C-BE32-E72D297353CC}">
              <c16:uniqueId val="{00000000-53B1-45F1-A0F7-609C87CBB6CE}"/>
            </c:ext>
          </c:extLst>
        </c:ser>
        <c:dLbls>
          <c:showLegendKey val="0"/>
          <c:showVal val="0"/>
          <c:showCatName val="0"/>
          <c:showSerName val="0"/>
          <c:showPercent val="0"/>
          <c:showBubbleSize val="0"/>
        </c:dLbls>
        <c:gapWidth val="219"/>
        <c:overlap val="-27"/>
        <c:axId val="110144847"/>
        <c:axId val="110145327"/>
      </c:barChart>
      <c:catAx>
        <c:axId val="1101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5327"/>
        <c:crosses val="autoZero"/>
        <c:auto val="1"/>
        <c:lblAlgn val="ctr"/>
        <c:lblOffset val="100"/>
        <c:noMultiLvlLbl val="0"/>
      </c:catAx>
      <c:valAx>
        <c:axId val="11014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[Task3PharmacySales&amp;DrugAnalysis.xlsx]Branded Vs Generic!PivotTable1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'Branded Vs Generic'!$B$3</c:f>
              <c:strCache>
                <c:ptCount val="1"/>
                <c:pt idx="0">
                  <c:v>Sum of Revenue </c:v>
                </c:pt>
              </c:strCache>
            </c:strRef>
          </c:tx>
          <c:spPr>
            <a:solidFill>
              <a:schemeClr val="accent1"/>
            </a:solidFill>
            <a:ln>
              <a:noFill/>
            </a:ln>
            <a:effectLst/>
          </c:spPr>
          <c:invertIfNegative val="0"/>
          <c:cat>
            <c:strRef>
              <c:f>'Branded Vs Generic'!$A$4:$A$6</c:f>
              <c:strCache>
                <c:ptCount val="2"/>
                <c:pt idx="0">
                  <c:v>Branded</c:v>
                </c:pt>
                <c:pt idx="1">
                  <c:v>Generic</c:v>
                </c:pt>
              </c:strCache>
            </c:strRef>
          </c:cat>
          <c:val>
            <c:numRef>
              <c:f>'Branded Vs Generic'!$B$4:$B$6</c:f>
              <c:numCache>
                <c:formatCode>General</c:formatCode>
                <c:ptCount val="2"/>
                <c:pt idx="0">
                  <c:v>5178.3999999999996</c:v>
                </c:pt>
                <c:pt idx="1">
                  <c:v>2499.4</c:v>
                </c:pt>
              </c:numCache>
            </c:numRef>
          </c:val>
          <c:extLst>
            <c:ext xmlns:c16="http://schemas.microsoft.com/office/drawing/2014/chart" uri="{C3380CC4-5D6E-409C-BE32-E72D297353CC}">
              <c16:uniqueId val="{00000000-EDFD-4F74-9747-9DFCB54F35A5}"/>
            </c:ext>
          </c:extLst>
        </c:ser>
        <c:ser>
          <c:idx val="1"/>
          <c:order val="1"/>
          <c:tx>
            <c:strRef>
              <c:f>'Branded Vs Generic'!$C$3</c:f>
              <c:strCache>
                <c:ptCount val="1"/>
                <c:pt idx="0">
                  <c:v>Sum of Units Sold</c:v>
                </c:pt>
              </c:strCache>
            </c:strRef>
          </c:tx>
          <c:spPr>
            <a:solidFill>
              <a:schemeClr val="accent2"/>
            </a:solidFill>
            <a:ln>
              <a:noFill/>
            </a:ln>
            <a:effectLst/>
          </c:spPr>
          <c:invertIfNegative val="0"/>
          <c:cat>
            <c:strRef>
              <c:f>'Branded Vs Generic'!$A$4:$A$6</c:f>
              <c:strCache>
                <c:ptCount val="2"/>
                <c:pt idx="0">
                  <c:v>Branded</c:v>
                </c:pt>
                <c:pt idx="1">
                  <c:v>Generic</c:v>
                </c:pt>
              </c:strCache>
            </c:strRef>
          </c:cat>
          <c:val>
            <c:numRef>
              <c:f>'Branded Vs Generic'!$C$4:$C$6</c:f>
              <c:numCache>
                <c:formatCode>General</c:formatCode>
                <c:ptCount val="2"/>
                <c:pt idx="0">
                  <c:v>1892</c:v>
                </c:pt>
                <c:pt idx="1">
                  <c:v>2653</c:v>
                </c:pt>
              </c:numCache>
            </c:numRef>
          </c:val>
          <c:extLst>
            <c:ext xmlns:c16="http://schemas.microsoft.com/office/drawing/2014/chart" uri="{C3380CC4-5D6E-409C-BE32-E72D297353CC}">
              <c16:uniqueId val="{00000001-EDFD-4F74-9747-9DFCB54F35A5}"/>
            </c:ext>
          </c:extLst>
        </c:ser>
        <c:dLbls>
          <c:showLegendKey val="0"/>
          <c:showVal val="0"/>
          <c:showCatName val="0"/>
          <c:showSerName val="0"/>
          <c:showPercent val="0"/>
          <c:showBubbleSize val="0"/>
        </c:dLbls>
        <c:gapWidth val="219"/>
        <c:overlap val="-27"/>
        <c:axId val="1908373039"/>
        <c:axId val="1908373519"/>
      </c:barChart>
      <c:catAx>
        <c:axId val="190837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73519"/>
        <c:crosses val="autoZero"/>
        <c:auto val="1"/>
        <c:lblAlgn val="ctr"/>
        <c:lblOffset val="100"/>
        <c:noMultiLvlLbl val="0"/>
      </c:catAx>
      <c:valAx>
        <c:axId val="190837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7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463550</xdr:colOff>
      <xdr:row>4</xdr:row>
      <xdr:rowOff>142875</xdr:rowOff>
    </xdr:from>
    <xdr:to>
      <xdr:col>11</xdr:col>
      <xdr:colOff>158750</xdr:colOff>
      <xdr:row>19</xdr:row>
      <xdr:rowOff>123825</xdr:rowOff>
    </xdr:to>
    <xdr:graphicFrame macro="">
      <xdr:nvGraphicFramePr>
        <xdr:cNvPr id="2" name="Chart 1">
          <a:extLst>
            <a:ext uri="{FF2B5EF4-FFF2-40B4-BE49-F238E27FC236}">
              <a16:creationId xmlns:a16="http://schemas.microsoft.com/office/drawing/2014/main" id="{F69D5583-95D3-E578-9A4A-6A641A4BC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165100</xdr:colOff>
      <xdr:row>9</xdr:row>
      <xdr:rowOff>44450</xdr:rowOff>
    </xdr:from>
    <xdr:to>
      <xdr:col>10</xdr:col>
      <xdr:colOff>571500</xdr:colOff>
      <xdr:row>26</xdr:row>
      <xdr:rowOff>104775</xdr:rowOff>
    </xdr:to>
    <xdr:graphicFrame macro="">
      <xdr:nvGraphicFramePr>
        <xdr:cNvPr id="6" name="Chart 1">
          <a:extLst>
            <a:ext uri="{FF2B5EF4-FFF2-40B4-BE49-F238E27FC236}">
              <a16:creationId xmlns:a16="http://schemas.microsoft.com/office/drawing/2014/main" id="{BB987E91-F10D-4C9D-82CB-8315C499F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5</xdr:row>
      <xdr:rowOff>82550</xdr:rowOff>
    </xdr:from>
    <xdr:to>
      <xdr:col>5</xdr:col>
      <xdr:colOff>1612900</xdr:colOff>
      <xdr:row>22</xdr:row>
      <xdr:rowOff>95250</xdr:rowOff>
    </xdr:to>
    <xdr:graphicFrame macro="">
      <xdr:nvGraphicFramePr>
        <xdr:cNvPr id="3" name="Chart 2">
          <a:extLst>
            <a:ext uri="{FF2B5EF4-FFF2-40B4-BE49-F238E27FC236}">
              <a16:creationId xmlns:a16="http://schemas.microsoft.com/office/drawing/2014/main" id="{0105DE5A-3A19-4E14-B8D1-4073F3A5A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336550</xdr:colOff>
      <xdr:row>23</xdr:row>
      <xdr:rowOff>0</xdr:rowOff>
    </xdr:from>
    <xdr:to>
      <xdr:col>5</xdr:col>
      <xdr:colOff>1670050</xdr:colOff>
      <xdr:row>40</xdr:row>
      <xdr:rowOff>47625</xdr:rowOff>
    </xdr:to>
    <xdr:graphicFrame macro="">
      <xdr:nvGraphicFramePr>
        <xdr:cNvPr id="7" name="Chart 1">
          <a:extLst>
            <a:ext uri="{FF2B5EF4-FFF2-40B4-BE49-F238E27FC236}">
              <a16:creationId xmlns:a16="http://schemas.microsoft.com/office/drawing/2014/main" id="{03C1BC02-491A-4001-AF89-782AC5606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120650</xdr:colOff>
      <xdr:row>23</xdr:row>
      <xdr:rowOff>12700</xdr:rowOff>
    </xdr:from>
    <xdr:to>
      <xdr:col>11</xdr:col>
      <xdr:colOff>57150</xdr:colOff>
      <xdr:row>40</xdr:row>
      <xdr:rowOff>38100</xdr:rowOff>
    </xdr:to>
    <xdr:graphicFrame macro="">
      <xdr:nvGraphicFramePr>
        <xdr:cNvPr id="8" name="Chart 7">
          <a:extLst>
            <a:ext uri="{FF2B5EF4-FFF2-40B4-BE49-F238E27FC236}">
              <a16:creationId xmlns:a16="http://schemas.microsoft.com/office/drawing/2014/main" id="{FC0BEDD6-7838-4613-B423-0EF14C8CA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76200</xdr:colOff>
      <xdr:row>5</xdr:row>
      <xdr:rowOff>158750</xdr:rowOff>
    </xdr:from>
    <xdr:to>
      <xdr:col>7</xdr:col>
      <xdr:colOff>1568450</xdr:colOff>
      <xdr:row>10</xdr:row>
      <xdr:rowOff>82550</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77B37854-0147-46AA-A98C-E9EA579E5D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214533" y="1565711"/>
              <a:ext cx="1865780" cy="85762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1631950</xdr:colOff>
      <xdr:row>5</xdr:row>
      <xdr:rowOff>171450</xdr:rowOff>
    </xdr:from>
    <xdr:to>
      <xdr:col>10</xdr:col>
      <xdr:colOff>76200</xdr:colOff>
      <xdr:row>20</xdr:row>
      <xdr:rowOff>88900</xdr:rowOff>
    </xdr:to>
    <mc:AlternateContent xmlns:mc="http://schemas.openxmlformats.org/markup-compatibility/2006">
      <mc:Choice xmlns:a14="http://schemas.microsoft.com/office/drawing/2010/main" Requires="a14">
        <xdr:graphicFrame macro="">
          <xdr:nvGraphicFramePr>
            <xdr:cNvPr id="12" name="Medicine">
              <a:extLst>
                <a:ext uri="{FF2B5EF4-FFF2-40B4-BE49-F238E27FC236}">
                  <a16:creationId xmlns:a16="http://schemas.microsoft.com/office/drawing/2014/main" id="{01D55A48-9A84-42B9-B797-3BB868B89B7E}"/>
                </a:ext>
              </a:extLst>
            </xdr:cNvPr>
            <xdr:cNvGraphicFramePr/>
          </xdr:nvGraphicFramePr>
          <xdr:xfrm>
            <a:off x="0" y="0"/>
            <a:ext cx="0" cy="0"/>
          </xdr:xfrm>
          <a:graphic>
            <a:graphicData uri="http://schemas.microsoft.com/office/drawing/2010/slicer">
              <sle:slicer xmlns:sle="http://schemas.microsoft.com/office/drawing/2010/slicer" name="Medicine"/>
            </a:graphicData>
          </a:graphic>
        </xdr:graphicFrame>
      </mc:Choice>
      <mc:Fallback>
        <xdr:sp macro="" textlink="">
          <xdr:nvSpPr>
            <xdr:cNvPr id="0" name=""/>
            <xdr:cNvSpPr>
              <a:spLocks noTextEdit="1"/>
            </xdr:cNvSpPr>
          </xdr:nvSpPr>
          <xdr:spPr>
            <a:xfrm>
              <a:off x="8143813" y="1578411"/>
              <a:ext cx="2490818" cy="271892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xdr:colOff>
      <xdr:row>10</xdr:row>
      <xdr:rowOff>120650</xdr:rowOff>
    </xdr:from>
    <xdr:to>
      <xdr:col>7</xdr:col>
      <xdr:colOff>1574800</xdr:colOff>
      <xdr:row>16</xdr:row>
      <xdr:rowOff>171450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0EA27F49-656B-4B55-857F-DAEB1E962A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14533" y="2461434"/>
              <a:ext cx="1872130" cy="1171389"/>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6.60280173611" createdVersion="8" refreshedVersion="8" minRefreshableVersion="3" recordCount="50" xr:uid="{419FAAFE-54B4-400E-8105-1E3864BF800E}">
  <cacheSource type="worksheet">
    <worksheetSource name="Table1"/>
  </cacheSource>
  <cacheFields count="12">
    <cacheField name="Sale ID" numFmtId="0">
      <sharedItems/>
    </cacheField>
    <cacheField name="Sale Date" numFmtId="14">
      <sharedItems containsSemiMixedTypes="0" containsNonDate="0" containsDate="1" containsString="0" minDate="2026-01-03T00:00:00" maxDate="2026-07-01T00:00:00"/>
    </cacheField>
    <cacheField name="Medicine" numFmtId="0">
      <sharedItems count="8">
        <s v="Paracetamol 500mg"/>
        <s v="Panadol 500mg"/>
        <s v="Amoxicillin 500mg"/>
        <s v="Augmentin 625mg"/>
        <s v="Ibuprofen 400mg"/>
        <s v="Neurobion"/>
        <s v="Omeprazole 20mg"/>
        <s v="Nexium 20mg"/>
      </sharedItems>
    </cacheField>
    <cacheField name="Category" numFmtId="0">
      <sharedItems count="4">
        <s v="Pain Relief"/>
        <s v="Antibiotic"/>
        <s v="Vitamins"/>
        <s v="Gastric"/>
      </sharedItems>
    </cacheField>
    <cacheField name="Type" numFmtId="0">
      <sharedItems count="2">
        <s v="Generic"/>
        <s v="Branded"/>
      </sharedItems>
    </cacheField>
    <cacheField name="Manufacturer" numFmtId="0">
      <sharedItems/>
    </cacheField>
    <cacheField name="Units Sold" numFmtId="1">
      <sharedItems containsSemiMixedTypes="0" containsString="0" containsNumber="1" containsInteger="1" minValue="40" maxValue="185"/>
    </cacheField>
    <cacheField name="Unit Price " numFmtId="2">
      <sharedItems containsSemiMixedTypes="0" containsString="0" containsNumber="1" minValue="0.5" maxValue="4.5"/>
    </cacheField>
    <cacheField name="Revenue " numFmtId="2">
      <sharedItems containsSemiMixedTypes="0" containsString="0" containsNumber="1" minValue="60" maxValue="333"/>
    </cacheField>
    <cacheField name="Region" numFmtId="0">
      <sharedItems/>
    </cacheField>
    <cacheField name="Month" numFmtId="0">
      <sharedItems containsSemiMixedTypes="0" containsString="0" containsNumber="1" containsInteger="1" minValue="1" maxValue="6" count="6">
        <n v="1"/>
        <n v="2"/>
        <n v="3"/>
        <n v="4"/>
        <n v="5"/>
        <n v="6"/>
      </sharedItems>
    </cacheField>
    <cacheField name="Year" numFmtId="0">
      <sharedItems containsSemiMixedTypes="0" containsString="0" containsNumber="1" containsInteger="1" minValue="2026" maxValue="2026" count="1">
        <n v="2026"/>
      </sharedItems>
    </cacheField>
  </cacheFields>
  <extLst>
    <ext xmlns:x14="http://schemas.microsoft.com/office/spreadsheetml/2009/9/main" uri="{725AE2AE-9491-48be-B2B4-4EB974FC3084}">
      <x14:pivotCacheDefinition pivotCacheId="974842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S001"/>
    <d v="2026-01-03T00:00:00"/>
    <x v="0"/>
    <x v="0"/>
    <x v="0"/>
    <s v="PharmaCare"/>
    <n v="120"/>
    <n v="0.5"/>
    <n v="60"/>
    <s v="Selangor"/>
    <x v="0"/>
    <x v="0"/>
  </r>
  <r>
    <s v="S002"/>
    <d v="2026-01-05T00:00:00"/>
    <x v="1"/>
    <x v="0"/>
    <x v="1"/>
    <s v="GSK"/>
    <n v="95"/>
    <n v="1.2"/>
    <n v="114"/>
    <s v="Kuala Lumpur"/>
    <x v="0"/>
    <x v="0"/>
  </r>
  <r>
    <s v="S003"/>
    <d v="2026-01-08T00:00:00"/>
    <x v="2"/>
    <x v="1"/>
    <x v="0"/>
    <s v="Medigen"/>
    <n v="65"/>
    <n v="1.8"/>
    <n v="117"/>
    <s v="Selangor"/>
    <x v="0"/>
    <x v="0"/>
  </r>
  <r>
    <s v="S004"/>
    <d v="2026-01-12T00:00:00"/>
    <x v="3"/>
    <x v="1"/>
    <x v="1"/>
    <s v="GSK"/>
    <n v="45"/>
    <n v="4.5"/>
    <n v="202.5"/>
    <s v="Kuala Lumpur"/>
    <x v="0"/>
    <x v="0"/>
  </r>
  <r>
    <s v="S005"/>
    <d v="2026-01-15T00:00:00"/>
    <x v="4"/>
    <x v="0"/>
    <x v="0"/>
    <s v="PharmaCare"/>
    <n v="80"/>
    <n v="0.9"/>
    <n v="72"/>
    <s v="Penang"/>
    <x v="0"/>
    <x v="0"/>
  </r>
  <r>
    <s v="S006"/>
    <d v="2026-01-18T00:00:00"/>
    <x v="5"/>
    <x v="2"/>
    <x v="1"/>
    <s v="Merck"/>
    <n v="55"/>
    <n v="3.2"/>
    <n v="176"/>
    <s v="Johor"/>
    <x v="0"/>
    <x v="0"/>
  </r>
  <r>
    <s v="S007"/>
    <d v="2026-01-22T00:00:00"/>
    <x v="6"/>
    <x v="3"/>
    <x v="0"/>
    <s v="Medigen"/>
    <n v="70"/>
    <n v="1.1000000000000001"/>
    <n v="77"/>
    <s v="Selangor"/>
    <x v="0"/>
    <x v="0"/>
  </r>
  <r>
    <s v="S008"/>
    <d v="2026-01-25T00:00:00"/>
    <x v="7"/>
    <x v="3"/>
    <x v="1"/>
    <s v="AstraZeneca"/>
    <n v="40"/>
    <n v="4.2"/>
    <n v="168"/>
    <s v="Kuala Lumpur"/>
    <x v="0"/>
    <x v="0"/>
  </r>
  <r>
    <s v="S009"/>
    <d v="2026-02-02T00:00:00"/>
    <x v="0"/>
    <x v="0"/>
    <x v="0"/>
    <s v="PharmaCare"/>
    <n v="135"/>
    <n v="0.5"/>
    <n v="67.5"/>
    <s v="Selangor"/>
    <x v="1"/>
    <x v="0"/>
  </r>
  <r>
    <s v="S010"/>
    <d v="2026-02-04T00:00:00"/>
    <x v="1"/>
    <x v="0"/>
    <x v="1"/>
    <s v="GSK"/>
    <n v="105"/>
    <n v="1.2"/>
    <n v="126"/>
    <s v="Penang"/>
    <x v="1"/>
    <x v="0"/>
  </r>
  <r>
    <s v="S011"/>
    <d v="2026-02-07T00:00:00"/>
    <x v="2"/>
    <x v="1"/>
    <x v="0"/>
    <s v="Medigen"/>
    <n v="72"/>
    <n v="1.8"/>
    <n v="129.6"/>
    <s v="Johor"/>
    <x v="1"/>
    <x v="0"/>
  </r>
  <r>
    <s v="S012"/>
    <d v="2026-02-10T00:00:00"/>
    <x v="3"/>
    <x v="1"/>
    <x v="1"/>
    <s v="GSK"/>
    <n v="52"/>
    <n v="4.5"/>
    <n v="234"/>
    <s v="Selangor"/>
    <x v="1"/>
    <x v="0"/>
  </r>
  <r>
    <s v="S013"/>
    <d v="2026-02-14T00:00:00"/>
    <x v="4"/>
    <x v="0"/>
    <x v="0"/>
    <s v="PharmaCare"/>
    <n v="88"/>
    <n v="0.9"/>
    <n v="79.2"/>
    <s v="Kuala Lumpur"/>
    <x v="1"/>
    <x v="0"/>
  </r>
  <r>
    <s v="S014"/>
    <d v="2026-02-17T00:00:00"/>
    <x v="5"/>
    <x v="2"/>
    <x v="1"/>
    <s v="Merck"/>
    <n v="60"/>
    <n v="3.2"/>
    <n v="192"/>
    <s v="Penang"/>
    <x v="1"/>
    <x v="0"/>
  </r>
  <r>
    <s v="S015"/>
    <d v="2026-02-20T00:00:00"/>
    <x v="6"/>
    <x v="3"/>
    <x v="0"/>
    <s v="Medigen"/>
    <n v="78"/>
    <n v="1.1000000000000001"/>
    <n v="85.8"/>
    <s v="Johor"/>
    <x v="1"/>
    <x v="0"/>
  </r>
  <r>
    <s v="S016"/>
    <d v="2026-02-25T00:00:00"/>
    <x v="7"/>
    <x v="3"/>
    <x v="1"/>
    <s v="AstraZeneca"/>
    <n v="46"/>
    <n v="4.2"/>
    <n v="193.2"/>
    <s v="Selangor"/>
    <x v="1"/>
    <x v="0"/>
  </r>
  <r>
    <s v="S017"/>
    <d v="2026-03-01T00:00:00"/>
    <x v="0"/>
    <x v="0"/>
    <x v="0"/>
    <s v="PharmaCare"/>
    <n v="145"/>
    <n v="0.5"/>
    <n v="72.5"/>
    <s v="Kuala Lumpur"/>
    <x v="2"/>
    <x v="0"/>
  </r>
  <r>
    <s v="S018"/>
    <d v="2026-03-04T00:00:00"/>
    <x v="1"/>
    <x v="0"/>
    <x v="1"/>
    <s v="GSK"/>
    <n v="112"/>
    <n v="1.2"/>
    <n v="134.4"/>
    <s v="Selangor"/>
    <x v="2"/>
    <x v="0"/>
  </r>
  <r>
    <s v="S019"/>
    <d v="2026-03-08T00:00:00"/>
    <x v="2"/>
    <x v="1"/>
    <x v="0"/>
    <s v="Medigen"/>
    <n v="80"/>
    <n v="1.8"/>
    <n v="144"/>
    <s v="Penang"/>
    <x v="2"/>
    <x v="0"/>
  </r>
  <r>
    <s v="S020"/>
    <d v="2026-03-11T00:00:00"/>
    <x v="3"/>
    <x v="1"/>
    <x v="1"/>
    <s v="GSK"/>
    <n v="58"/>
    <n v="4.5"/>
    <n v="261"/>
    <s v="Johor"/>
    <x v="2"/>
    <x v="0"/>
  </r>
  <r>
    <s v="S021"/>
    <d v="2026-03-15T00:00:00"/>
    <x v="4"/>
    <x v="0"/>
    <x v="0"/>
    <s v="PharmaCare"/>
    <n v="92"/>
    <n v="0.9"/>
    <n v="82.8"/>
    <s v="Selangor"/>
    <x v="2"/>
    <x v="0"/>
  </r>
  <r>
    <s v="S022"/>
    <d v="2026-03-18T00:00:00"/>
    <x v="5"/>
    <x v="2"/>
    <x v="1"/>
    <s v="Merck"/>
    <n v="64"/>
    <n v="3.2"/>
    <n v="204.8"/>
    <s v="Kuala Lumpur"/>
    <x v="2"/>
    <x v="0"/>
  </r>
  <r>
    <s v="S023"/>
    <d v="2026-03-22T00:00:00"/>
    <x v="6"/>
    <x v="3"/>
    <x v="0"/>
    <s v="Medigen"/>
    <n v="85"/>
    <n v="1.1000000000000001"/>
    <n v="93.5"/>
    <s v="Penang"/>
    <x v="2"/>
    <x v="0"/>
  </r>
  <r>
    <s v="S024"/>
    <d v="2026-03-27T00:00:00"/>
    <x v="7"/>
    <x v="3"/>
    <x v="1"/>
    <s v="AstraZeneca"/>
    <n v="50"/>
    <n v="4.2"/>
    <n v="210"/>
    <s v="Johor"/>
    <x v="2"/>
    <x v="0"/>
  </r>
  <r>
    <s v="S025"/>
    <d v="2026-04-02T00:00:00"/>
    <x v="0"/>
    <x v="0"/>
    <x v="0"/>
    <s v="PharmaCare"/>
    <n v="155"/>
    <n v="0.5"/>
    <n v="77.5"/>
    <s v="Selangor"/>
    <x v="3"/>
    <x v="0"/>
  </r>
  <r>
    <s v="S026"/>
    <d v="2026-04-05T00:00:00"/>
    <x v="1"/>
    <x v="0"/>
    <x v="1"/>
    <s v="GSK"/>
    <n v="118"/>
    <n v="1.2"/>
    <n v="141.6"/>
    <s v="Kuala Lumpur"/>
    <x v="3"/>
    <x v="0"/>
  </r>
  <r>
    <s v="S027"/>
    <d v="2026-04-09T00:00:00"/>
    <x v="2"/>
    <x v="1"/>
    <x v="0"/>
    <s v="Medigen"/>
    <n v="86"/>
    <n v="1.8"/>
    <n v="154.80000000000001"/>
    <s v="Penang"/>
    <x v="3"/>
    <x v="0"/>
  </r>
  <r>
    <s v="S028"/>
    <d v="2026-04-12T00:00:00"/>
    <x v="3"/>
    <x v="1"/>
    <x v="1"/>
    <s v="GSK"/>
    <n v="63"/>
    <n v="4.5"/>
    <n v="283.5"/>
    <s v="Selangor"/>
    <x v="3"/>
    <x v="0"/>
  </r>
  <r>
    <s v="S029"/>
    <d v="2026-04-16T00:00:00"/>
    <x v="4"/>
    <x v="0"/>
    <x v="0"/>
    <s v="PharmaCare"/>
    <n v="96"/>
    <n v="0.9"/>
    <n v="86.4"/>
    <s v="Johor"/>
    <x v="3"/>
    <x v="0"/>
  </r>
  <r>
    <s v="S030"/>
    <d v="2026-04-19T00:00:00"/>
    <x v="5"/>
    <x v="2"/>
    <x v="1"/>
    <s v="Merck"/>
    <n v="68"/>
    <n v="3.2"/>
    <n v="217.6"/>
    <s v="Penang"/>
    <x v="3"/>
    <x v="0"/>
  </r>
  <r>
    <s v="S031"/>
    <d v="2026-04-22T00:00:00"/>
    <x v="6"/>
    <x v="3"/>
    <x v="0"/>
    <s v="Medigen"/>
    <n v="90"/>
    <n v="1.1000000000000001"/>
    <n v="99"/>
    <s v="Selangor"/>
    <x v="3"/>
    <x v="0"/>
  </r>
  <r>
    <s v="S032"/>
    <d v="2026-04-26T00:00:00"/>
    <x v="7"/>
    <x v="3"/>
    <x v="1"/>
    <s v="AstraZeneca"/>
    <n v="54"/>
    <n v="4.2"/>
    <n v="226.8"/>
    <s v="Kuala Lumpur"/>
    <x v="3"/>
    <x v="0"/>
  </r>
  <r>
    <s v="S033"/>
    <d v="2026-05-03T00:00:00"/>
    <x v="0"/>
    <x v="0"/>
    <x v="0"/>
    <s v="PharmaCare"/>
    <n v="165"/>
    <n v="0.5"/>
    <n v="82.5"/>
    <s v="Johor"/>
    <x v="4"/>
    <x v="0"/>
  </r>
  <r>
    <s v="S034"/>
    <d v="2026-05-06T00:00:00"/>
    <x v="1"/>
    <x v="0"/>
    <x v="1"/>
    <s v="GSK"/>
    <n v="125"/>
    <n v="1.2"/>
    <n v="150"/>
    <s v="Selangor"/>
    <x v="4"/>
    <x v="0"/>
  </r>
  <r>
    <s v="S035"/>
    <d v="2026-05-09T00:00:00"/>
    <x v="2"/>
    <x v="1"/>
    <x v="0"/>
    <s v="Medigen"/>
    <n v="90"/>
    <n v="1.8"/>
    <n v="162"/>
    <s v="Kuala Lumpur"/>
    <x v="4"/>
    <x v="0"/>
  </r>
  <r>
    <s v="S036"/>
    <d v="2026-05-13T00:00:00"/>
    <x v="3"/>
    <x v="1"/>
    <x v="1"/>
    <s v="GSK"/>
    <n v="68"/>
    <n v="4.5"/>
    <n v="306"/>
    <s v="Penang"/>
    <x v="4"/>
    <x v="0"/>
  </r>
  <r>
    <s v="S037"/>
    <d v="2026-05-17T00:00:00"/>
    <x v="4"/>
    <x v="0"/>
    <x v="0"/>
    <s v="PharmaCare"/>
    <n v="102"/>
    <n v="0.9"/>
    <n v="91.8"/>
    <s v="Selangor"/>
    <x v="4"/>
    <x v="0"/>
  </r>
  <r>
    <s v="S038"/>
    <d v="2026-05-20T00:00:00"/>
    <x v="5"/>
    <x v="2"/>
    <x v="1"/>
    <s v="Merck"/>
    <n v="72"/>
    <n v="3.2"/>
    <n v="230.4"/>
    <s v="Johor"/>
    <x v="4"/>
    <x v="0"/>
  </r>
  <r>
    <s v="S039"/>
    <d v="2026-05-23T00:00:00"/>
    <x v="6"/>
    <x v="3"/>
    <x v="0"/>
    <s v="Medigen"/>
    <n v="95"/>
    <n v="1.1000000000000001"/>
    <n v="104.5"/>
    <s v="Penang"/>
    <x v="4"/>
    <x v="0"/>
  </r>
  <r>
    <s v="S040"/>
    <d v="2026-05-28T00:00:00"/>
    <x v="7"/>
    <x v="3"/>
    <x v="1"/>
    <s v="AstraZeneca"/>
    <n v="58"/>
    <n v="4.2"/>
    <n v="243.6"/>
    <s v="Selangor"/>
    <x v="4"/>
    <x v="0"/>
  </r>
  <r>
    <s v="S041"/>
    <d v="2026-06-02T00:00:00"/>
    <x v="0"/>
    <x v="0"/>
    <x v="0"/>
    <s v="PharmaCare"/>
    <n v="175"/>
    <n v="0.5"/>
    <n v="87.5"/>
    <s v="Kuala Lumpur"/>
    <x v="5"/>
    <x v="0"/>
  </r>
  <r>
    <s v="S042"/>
    <d v="2026-06-05T00:00:00"/>
    <x v="1"/>
    <x v="0"/>
    <x v="1"/>
    <s v="GSK"/>
    <n v="132"/>
    <n v="1.2"/>
    <n v="158.4"/>
    <s v="Selangor"/>
    <x v="5"/>
    <x v="0"/>
  </r>
  <r>
    <s v="S043"/>
    <d v="2026-06-09T00:00:00"/>
    <x v="2"/>
    <x v="1"/>
    <x v="0"/>
    <s v="Medigen"/>
    <n v="96"/>
    <n v="1.8"/>
    <n v="172.8"/>
    <s v="Johor"/>
    <x v="5"/>
    <x v="0"/>
  </r>
  <r>
    <s v="S044"/>
    <d v="2026-06-12T00:00:00"/>
    <x v="3"/>
    <x v="1"/>
    <x v="1"/>
    <s v="GSK"/>
    <n v="74"/>
    <n v="4.5"/>
    <n v="333"/>
    <s v="Penang"/>
    <x v="5"/>
    <x v="0"/>
  </r>
  <r>
    <s v="S045"/>
    <d v="2026-06-16T00:00:00"/>
    <x v="4"/>
    <x v="0"/>
    <x v="0"/>
    <s v="PharmaCare"/>
    <n v="108"/>
    <n v="0.9"/>
    <n v="97.2"/>
    <s v="Selangor"/>
    <x v="5"/>
    <x v="0"/>
  </r>
  <r>
    <s v="S046"/>
    <d v="2026-06-19T00:00:00"/>
    <x v="5"/>
    <x v="2"/>
    <x v="1"/>
    <s v="Merck"/>
    <n v="76"/>
    <n v="3.2"/>
    <n v="243.2"/>
    <s v="Kuala Lumpur"/>
    <x v="5"/>
    <x v="0"/>
  </r>
  <r>
    <s v="S047"/>
    <d v="2026-06-22T00:00:00"/>
    <x v="6"/>
    <x v="3"/>
    <x v="0"/>
    <s v="Medigen"/>
    <n v="100"/>
    <n v="1.1000000000000001"/>
    <n v="110"/>
    <s v="Penang"/>
    <x v="5"/>
    <x v="0"/>
  </r>
  <r>
    <s v="S048"/>
    <d v="2026-06-25T00:00:00"/>
    <x v="7"/>
    <x v="3"/>
    <x v="1"/>
    <s v="AstraZeneca"/>
    <n v="62"/>
    <n v="4.2"/>
    <n v="260.39999999999998"/>
    <s v="Johor"/>
    <x v="5"/>
    <x v="0"/>
  </r>
  <r>
    <s v="S049"/>
    <d v="2026-06-28T00:00:00"/>
    <x v="0"/>
    <x v="0"/>
    <x v="0"/>
    <s v="PharmaCare"/>
    <n v="185"/>
    <n v="0.5"/>
    <n v="92.5"/>
    <s v="Selangor"/>
    <x v="5"/>
    <x v="0"/>
  </r>
  <r>
    <s v="S050"/>
    <d v="2026-06-30T00:00:00"/>
    <x v="1"/>
    <x v="0"/>
    <x v="1"/>
    <s v="GSK"/>
    <n v="140"/>
    <n v="1.2"/>
    <n v="168"/>
    <s v="Kuala Lumpur"/>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C0E103-7B20-405E-B1BB-9DD2D565E9C6}" name="PivotTable1" cacheId="1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9">
  <location ref="A3:C6" firstHeaderRow="0" firstDataRow="1" firstDataCol="1"/>
  <pivotFields count="12">
    <pivotField showAll="0"/>
    <pivotField numFmtId="14" showAll="0"/>
    <pivotField showAll="0" sortType="descending">
      <items count="9">
        <item x="2"/>
        <item x="3"/>
        <item x="4"/>
        <item x="5"/>
        <item x="7"/>
        <item x="6"/>
        <item x="1"/>
        <item x="0"/>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axis="axisRow" showAll="0">
      <items count="3">
        <item x="1"/>
        <item x="0"/>
        <item t="default"/>
      </items>
    </pivotField>
    <pivotField showAll="0"/>
    <pivotField dataField="1" numFmtId="1" showAll="0"/>
    <pivotField numFmtId="2" showAll="0"/>
    <pivotField dataField="1" numFmtId="2" showAll="0"/>
    <pivotField showAll="0"/>
    <pivotField showAll="0"/>
    <pivotField showAll="0">
      <items count="2">
        <item x="0"/>
        <item t="default"/>
      </items>
    </pivotField>
  </pivotFields>
  <rowFields count="1">
    <field x="4"/>
  </rowFields>
  <rowItems count="3">
    <i>
      <x/>
    </i>
    <i>
      <x v="1"/>
    </i>
    <i t="grand">
      <x/>
    </i>
  </rowItems>
  <colFields count="1">
    <field x="-2"/>
  </colFields>
  <colItems count="2">
    <i>
      <x/>
    </i>
    <i i="1">
      <x v="1"/>
    </i>
  </colItems>
  <dataFields count="2">
    <dataField name="Sum of Revenue " fld="8" baseField="0" baseItem="0"/>
    <dataField name="Sum of Units Sold" fld="6"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9FE522-8AF1-4043-8BD5-7BAF3F12C173}"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edicine ">
  <location ref="A3:B12" firstHeaderRow="1" firstDataRow="1" firstDataCol="1"/>
  <pivotFields count="12">
    <pivotField showAll="0"/>
    <pivotField numFmtId="14" showAll="0"/>
    <pivotField axis="axisRow" showAll="0" sortType="descending">
      <items count="9">
        <item x="2"/>
        <item x="3"/>
        <item x="4"/>
        <item x="5"/>
        <item x="7"/>
        <item x="6"/>
        <item x="1"/>
        <item x="0"/>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pivotField dataField="1" numFmtId="1" showAll="0"/>
    <pivotField numFmtId="2" showAll="0"/>
    <pivotField numFmtId="2" showAll="0"/>
    <pivotField showAll="0"/>
    <pivotField showAll="0"/>
    <pivotField showAll="0">
      <items count="2">
        <item x="0"/>
        <item t="default"/>
      </items>
    </pivotField>
  </pivotFields>
  <rowFields count="1">
    <field x="2"/>
  </rowFields>
  <rowItems count="9">
    <i>
      <x v="7"/>
    </i>
    <i>
      <x v="6"/>
    </i>
    <i>
      <x v="2"/>
    </i>
    <i>
      <x v="5"/>
    </i>
    <i>
      <x/>
    </i>
    <i>
      <x v="3"/>
    </i>
    <i>
      <x v="1"/>
    </i>
    <i>
      <x v="4"/>
    </i>
    <i t="grand">
      <x/>
    </i>
  </rowItems>
  <colItems count="1">
    <i/>
  </colItems>
  <dataFields count="1">
    <dataField name="Sum of Units Sold" fld="6" baseField="0" baseItem="0"/>
  </dataFields>
  <chartFormats count="2">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B46529-B8C5-421A-B25C-E03887DE566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2">
    <pivotField showAll="0"/>
    <pivotField numFmtId="14" showAll="0"/>
    <pivotField axis="axisRow" showAll="0" sortType="descending">
      <items count="9">
        <item x="2"/>
        <item x="3"/>
        <item x="4"/>
        <item x="5"/>
        <item x="7"/>
        <item x="6"/>
        <item x="1"/>
        <item x="0"/>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pivotField numFmtId="1" showAll="0"/>
    <pivotField numFmtId="2" showAll="0"/>
    <pivotField dataField="1" numFmtId="2" showAll="0"/>
    <pivotField showAll="0"/>
    <pivotField showAll="0"/>
    <pivotField showAll="0">
      <items count="2">
        <item x="0"/>
        <item t="default"/>
      </items>
    </pivotField>
  </pivotFields>
  <rowFields count="1">
    <field x="2"/>
  </rowFields>
  <rowItems count="9">
    <i>
      <x v="1"/>
    </i>
    <i>
      <x v="4"/>
    </i>
    <i>
      <x v="3"/>
    </i>
    <i>
      <x v="6"/>
    </i>
    <i>
      <x/>
    </i>
    <i>
      <x v="5"/>
    </i>
    <i>
      <x v="7"/>
    </i>
    <i>
      <x v="2"/>
    </i>
    <i t="grand">
      <x/>
    </i>
  </rowItems>
  <colItems count="1">
    <i/>
  </colItems>
  <dataFields count="1">
    <dataField name="Sum of Revenu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42F66A-A124-4CBA-BDCF-576A8BF9C2A4}"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2">
    <pivotField showAll="0"/>
    <pivotField numFmtId="14" showAll="0"/>
    <pivotField showAll="0">
      <items count="9">
        <item x="2"/>
        <item x="3"/>
        <item x="4"/>
        <item x="5"/>
        <item x="7"/>
        <item x="6"/>
        <item x="1"/>
        <item x="0"/>
        <item t="default"/>
      </items>
    </pivotField>
    <pivotField showAll="0">
      <items count="5">
        <item x="1"/>
        <item x="3"/>
        <item x="0"/>
        <item x="2"/>
        <item t="default"/>
      </items>
    </pivotField>
    <pivotField showAll="0"/>
    <pivotField showAll="0"/>
    <pivotField numFmtId="1" showAll="0"/>
    <pivotField numFmtId="2" showAll="0"/>
    <pivotField dataField="1" numFmtId="2" showAll="0"/>
    <pivotField showAll="0"/>
    <pivotField axis="axisRow" showAll="0">
      <items count="7">
        <item x="0"/>
        <item x="1"/>
        <item x="2"/>
        <item x="3"/>
        <item x="4"/>
        <item x="5"/>
        <item t="default"/>
      </items>
    </pivotField>
    <pivotField showAll="0">
      <items count="2">
        <item x="0"/>
        <item t="default"/>
      </items>
    </pivotField>
  </pivotFields>
  <rowFields count="1">
    <field x="10"/>
  </rowFields>
  <rowItems count="7">
    <i>
      <x/>
    </i>
    <i>
      <x v="1"/>
    </i>
    <i>
      <x v="2"/>
    </i>
    <i>
      <x v="3"/>
    </i>
    <i>
      <x v="4"/>
    </i>
    <i>
      <x v="5"/>
    </i>
    <i t="grand">
      <x/>
    </i>
  </rowItems>
  <colItems count="1">
    <i/>
  </colItems>
  <dataFields count="1">
    <dataField name="Sum of Revenu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30C8E7-4F45-4FE5-814D-2C2F8121CDBE}"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3:B10" firstHeaderRow="1" firstDataRow="1" firstDataCol="1"/>
  <pivotFields count="12">
    <pivotField showAll="0"/>
    <pivotField numFmtId="14" showAll="0"/>
    <pivotField showAll="0">
      <items count="9">
        <item x="2"/>
        <item x="3"/>
        <item x="4"/>
        <item x="5"/>
        <item x="7"/>
        <item x="6"/>
        <item x="1"/>
        <item x="0"/>
        <item t="default"/>
      </items>
    </pivotField>
    <pivotField showAll="0">
      <items count="5">
        <item x="1"/>
        <item x="3"/>
        <item x="0"/>
        <item x="2"/>
        <item t="default"/>
      </items>
    </pivotField>
    <pivotField showAll="0"/>
    <pivotField showAll="0"/>
    <pivotField numFmtId="1" showAll="0"/>
    <pivotField numFmtId="2" showAll="0"/>
    <pivotField dataField="1" numFmtId="2" showAll="0"/>
    <pivotField showAll="0"/>
    <pivotField axis="axisRow" showAll="0">
      <items count="7">
        <item x="0"/>
        <item x="1"/>
        <item x="2"/>
        <item x="3"/>
        <item x="4"/>
        <item x="5"/>
        <item t="default"/>
      </items>
    </pivotField>
    <pivotField showAll="0">
      <items count="2">
        <item x="0"/>
        <item t="default"/>
      </items>
    </pivotField>
  </pivotFields>
  <rowFields count="1">
    <field x="10"/>
  </rowFields>
  <rowItems count="7">
    <i>
      <x/>
    </i>
    <i>
      <x v="1"/>
    </i>
    <i>
      <x v="2"/>
    </i>
    <i>
      <x v="3"/>
    </i>
    <i>
      <x v="4"/>
    </i>
    <i>
      <x v="5"/>
    </i>
    <i t="grand">
      <x/>
    </i>
  </rowItems>
  <colItems count="1">
    <i/>
  </colItems>
  <dataFields count="1">
    <dataField name="Sum of Revenue " fld="8"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D869BB-A21B-44D3-9D88-2B2B1A654341}" sourceName="Year">
  <pivotTables>
    <pivotTable tabId="7" name="PivotTable5"/>
    <pivotTable tabId="2" name="PivotTable1"/>
    <pivotTable tabId="5" name="PivotTable4"/>
    <pivotTable tabId="4" name="PivotTable3"/>
    <pivotTable tabId="3" name="PivotTable2"/>
  </pivotTables>
  <data>
    <tabular pivotCacheId="974842777">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ine" xr10:uid="{19149CF9-92A9-4969-AD2E-32A11092D1DC}" sourceName="Medicine">
  <pivotTables>
    <pivotTable tabId="7" name="PivotTable5"/>
    <pivotTable tabId="2" name="PivotTable1"/>
    <pivotTable tabId="5" name="PivotTable4"/>
    <pivotTable tabId="4" name="PivotTable3"/>
    <pivotTable tabId="3" name="PivotTable2"/>
  </pivotTables>
  <data>
    <tabular pivotCacheId="974842777">
      <items count="8">
        <i x="2" s="1"/>
        <i x="3" s="1"/>
        <i x="4" s="1"/>
        <i x="5" s="1"/>
        <i x="7"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E0948C-6B44-4864-A9ED-CB71FFA1D533}" sourceName="Category">
  <pivotTables>
    <pivotTable tabId="7" name="PivotTable5"/>
    <pivotTable tabId="2" name="PivotTable1"/>
    <pivotTable tabId="5" name="PivotTable4"/>
    <pivotTable tabId="4" name="PivotTable3"/>
    <pivotTable tabId="3" name="PivotTable2"/>
  </pivotTables>
  <data>
    <tabular pivotCacheId="974842777">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E95F09A-DD93-4285-8BAD-5893114992F9}" cache="Slicer_Year" caption="Year" rowHeight="241300"/>
  <slicer name="Medicine" xr10:uid="{A0D2CEA5-C6C8-4F45-8EB0-6FBC80E6E293}" cache="Slicer_Medicine" caption="Medicine" rowHeight="241300"/>
  <slicer name="Category" xr10:uid="{8CE43707-8611-44F1-B062-7A5492BC07C5}" cache="Slicer_Category" caption="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E054DC-AA80-4E1A-84A3-4B23793E4218}" name="Table1" displayName="Table1" ref="A1:L51" totalsRowShown="0">
  <autoFilter ref="A1:L51" xr:uid="{69E054DC-AA80-4E1A-84A3-4B23793E4218}"/>
  <tableColumns count="12">
    <tableColumn id="1" xr3:uid="{F1BAD778-97B5-4485-BF4B-E7D0A6845C2D}" name="Sale ID"/>
    <tableColumn id="2" xr3:uid="{DEE95432-27A7-4A8F-A927-BEE3932C02CE}" name="Sale Date"/>
    <tableColumn id="3" xr3:uid="{17A9B2FE-38FE-4220-BBA1-34D71EF76331}" name="Medicine"/>
    <tableColumn id="4" xr3:uid="{4AFBC291-351A-47EC-8D2C-4ECAAAC6AE93}" name="Category"/>
    <tableColumn id="5" xr3:uid="{8876D860-6AD3-4CE2-9E2D-A930E21F64E7}" name="Type"/>
    <tableColumn id="6" xr3:uid="{E969E370-B417-4B9C-BC1F-BF7184FB7673}" name="Manufacturer"/>
    <tableColumn id="7" xr3:uid="{A73B6406-D86F-4C16-BD79-17E5B209FD76}" name="Units Sold" dataDxfId="4"/>
    <tableColumn id="8" xr3:uid="{24FA5253-503E-4D64-9C82-0A963E999820}" name="Unit Price " dataDxfId="3"/>
    <tableColumn id="9" xr3:uid="{0415FD8B-FAF5-4271-B1E1-895C0BC871DD}" name="Revenue " dataDxfId="2"/>
    <tableColumn id="10" xr3:uid="{16FBF9EA-A81A-4B4B-9A99-4CB44D5D072C}" name="Region"/>
    <tableColumn id="12" xr3:uid="{A321CEF2-3AE3-4139-86E0-551999739720}" name="Month" dataDxfId="1">
      <calculatedColumnFormula>MONTH(B2)</calculatedColumnFormula>
    </tableColumn>
    <tableColumn id="13" xr3:uid="{45AD6E13-C192-4651-87BD-9BCB0FFE9301}" name="Year" dataDxfId="0">
      <calculatedColumnFormula>YEAR(B2)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69F8-471A-4441-8430-4E791E2C21E1}">
  <dimension ref="A3:D6"/>
  <sheetViews>
    <sheetView workbookViewId="0">
      <selection activeCell="C10" sqref="C10"/>
    </sheetView>
  </sheetViews>
  <sheetFormatPr defaultRowHeight="14.5" x14ac:dyDescent="0.35"/>
  <cols>
    <col min="1" max="1" width="10.7265625" bestFit="1" customWidth="1"/>
    <col min="2" max="2" width="14.81640625" bestFit="1" customWidth="1"/>
    <col min="3" max="3" width="15.54296875" bestFit="1" customWidth="1"/>
  </cols>
  <sheetData>
    <row r="3" spans="1:4" x14ac:dyDescent="0.35">
      <c r="B3" t="s">
        <v>87</v>
      </c>
      <c r="C3" t="s">
        <v>86</v>
      </c>
    </row>
    <row r="4" spans="1:4" x14ac:dyDescent="0.35">
      <c r="A4" s="5" t="s">
        <v>16</v>
      </c>
      <c r="B4" s="6">
        <v>5178.3999999999996</v>
      </c>
      <c r="C4" s="6">
        <v>1892</v>
      </c>
      <c r="D4" s="7"/>
    </row>
    <row r="5" spans="1:4" x14ac:dyDescent="0.35">
      <c r="A5" s="5" t="s">
        <v>11</v>
      </c>
      <c r="B5" s="6">
        <v>2499.4</v>
      </c>
      <c r="C5" s="6">
        <v>2653</v>
      </c>
    </row>
    <row r="6" spans="1:4" x14ac:dyDescent="0.35">
      <c r="A6" s="5" t="s">
        <v>85</v>
      </c>
      <c r="B6" s="6">
        <v>7677.7999999999993</v>
      </c>
      <c r="C6" s="6">
        <v>4545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B9D6A-AABE-4207-8EDB-720E0A394F6E}">
  <dimension ref="A3:D12"/>
  <sheetViews>
    <sheetView topLeftCell="B7" workbookViewId="0">
      <selection activeCell="D16" sqref="D16"/>
    </sheetView>
  </sheetViews>
  <sheetFormatPr defaultRowHeight="14.5" x14ac:dyDescent="0.35"/>
  <cols>
    <col min="1" max="1" width="17.36328125" bestFit="1" customWidth="1"/>
    <col min="2" max="2" width="15.54296875" bestFit="1" customWidth="1"/>
    <col min="4" max="4" width="28.54296875" customWidth="1"/>
  </cols>
  <sheetData>
    <row r="3" spans="1:4" ht="21" x14ac:dyDescent="0.5">
      <c r="A3" s="4" t="s">
        <v>89</v>
      </c>
      <c r="B3" t="s">
        <v>86</v>
      </c>
      <c r="D3" s="12" t="s">
        <v>90</v>
      </c>
    </row>
    <row r="4" spans="1:4" ht="21" x14ac:dyDescent="0.5">
      <c r="A4" s="5" t="s">
        <v>9</v>
      </c>
      <c r="B4" s="6">
        <v>1080</v>
      </c>
      <c r="D4" s="10" t="str">
        <f>INDEX(A4:A11,MATCH(MAX(B4:B11),B4:B11,0))</f>
        <v>Paracetamol 500mg</v>
      </c>
    </row>
    <row r="5" spans="1:4" ht="26" x14ac:dyDescent="0.6">
      <c r="A5" s="5" t="s">
        <v>15</v>
      </c>
      <c r="B5" s="6">
        <v>827</v>
      </c>
      <c r="D5" s="11">
        <f>MAX(B4:B11)</f>
        <v>1080</v>
      </c>
    </row>
    <row r="6" spans="1:4" x14ac:dyDescent="0.35">
      <c r="A6" s="5" t="s">
        <v>26</v>
      </c>
      <c r="B6" s="6">
        <v>566</v>
      </c>
    </row>
    <row r="7" spans="1:4" x14ac:dyDescent="0.35">
      <c r="A7" s="5" t="s">
        <v>34</v>
      </c>
      <c r="B7" s="6">
        <v>518</v>
      </c>
    </row>
    <row r="8" spans="1:4" x14ac:dyDescent="0.35">
      <c r="A8" s="5" t="s">
        <v>20</v>
      </c>
      <c r="B8" s="6">
        <v>489</v>
      </c>
    </row>
    <row r="9" spans="1:4" x14ac:dyDescent="0.35">
      <c r="A9" s="5" t="s">
        <v>29</v>
      </c>
      <c r="B9" s="6">
        <v>395</v>
      </c>
    </row>
    <row r="10" spans="1:4" x14ac:dyDescent="0.35">
      <c r="A10" s="5" t="s">
        <v>24</v>
      </c>
      <c r="B10" s="6">
        <v>360</v>
      </c>
    </row>
    <row r="11" spans="1:4" x14ac:dyDescent="0.35">
      <c r="A11" s="5" t="s">
        <v>37</v>
      </c>
      <c r="B11" s="6">
        <v>310</v>
      </c>
    </row>
    <row r="12" spans="1:4" x14ac:dyDescent="0.35">
      <c r="A12" s="5" t="s">
        <v>85</v>
      </c>
      <c r="B12" s="6">
        <v>4545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382F-4C4B-41A9-AD8F-273DDF025844}">
  <dimension ref="A3:D12"/>
  <sheetViews>
    <sheetView workbookViewId="0">
      <selection activeCell="D12" sqref="D11:D12"/>
    </sheetView>
  </sheetViews>
  <sheetFormatPr defaultRowHeight="14.5" x14ac:dyDescent="0.35"/>
  <cols>
    <col min="1" max="1" width="17.36328125" bestFit="1" customWidth="1"/>
    <col min="2" max="2" width="14.81640625" bestFit="1" customWidth="1"/>
    <col min="4" max="4" width="29.36328125" customWidth="1"/>
  </cols>
  <sheetData>
    <row r="3" spans="1:4" ht="21" x14ac:dyDescent="0.5">
      <c r="A3" s="4" t="s">
        <v>84</v>
      </c>
      <c r="B3" t="s">
        <v>87</v>
      </c>
      <c r="D3" s="12" t="s">
        <v>91</v>
      </c>
    </row>
    <row r="4" spans="1:4" ht="21" x14ac:dyDescent="0.5">
      <c r="A4" s="5" t="s">
        <v>24</v>
      </c>
      <c r="B4" s="6">
        <v>1620</v>
      </c>
      <c r="D4" s="10" t="str">
        <f>INDEX(A4:A11,MATCH(MAX(B4:B11),B4:B11,0))</f>
        <v>Augmentin 625mg</v>
      </c>
    </row>
    <row r="5" spans="1:4" ht="26" x14ac:dyDescent="0.6">
      <c r="A5" s="5" t="s">
        <v>37</v>
      </c>
      <c r="B5" s="6">
        <v>1302</v>
      </c>
      <c r="D5" s="11">
        <f>MAX(B4:B11)</f>
        <v>1620</v>
      </c>
    </row>
    <row r="6" spans="1:4" x14ac:dyDescent="0.35">
      <c r="A6" s="5" t="s">
        <v>29</v>
      </c>
      <c r="B6" s="6">
        <v>1264</v>
      </c>
    </row>
    <row r="7" spans="1:4" x14ac:dyDescent="0.35">
      <c r="A7" s="5" t="s">
        <v>15</v>
      </c>
      <c r="B7" s="6">
        <v>992.4</v>
      </c>
    </row>
    <row r="8" spans="1:4" x14ac:dyDescent="0.35">
      <c r="A8" s="5" t="s">
        <v>20</v>
      </c>
      <c r="B8" s="6">
        <v>880.2</v>
      </c>
    </row>
    <row r="9" spans="1:4" x14ac:dyDescent="0.35">
      <c r="A9" s="5" t="s">
        <v>34</v>
      </c>
      <c r="B9" s="6">
        <v>569.79999999999995</v>
      </c>
    </row>
    <row r="10" spans="1:4" x14ac:dyDescent="0.35">
      <c r="A10" s="5" t="s">
        <v>9</v>
      </c>
      <c r="B10" s="6">
        <v>540</v>
      </c>
    </row>
    <row r="11" spans="1:4" x14ac:dyDescent="0.35">
      <c r="A11" s="5" t="s">
        <v>26</v>
      </c>
      <c r="B11" s="6">
        <v>509.4</v>
      </c>
    </row>
    <row r="12" spans="1:4" x14ac:dyDescent="0.35">
      <c r="A12" s="5" t="s">
        <v>85</v>
      </c>
      <c r="B12" s="6">
        <v>7677.8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2B220-6007-451E-8FFB-4519CD704AB3}">
  <dimension ref="A3:E10"/>
  <sheetViews>
    <sheetView workbookViewId="0">
      <selection activeCell="F10" sqref="F10"/>
    </sheetView>
  </sheetViews>
  <sheetFormatPr defaultRowHeight="14.5" x14ac:dyDescent="0.35"/>
  <cols>
    <col min="1" max="1" width="12.36328125" bestFit="1" customWidth="1"/>
    <col min="2" max="2" width="14.81640625" bestFit="1" customWidth="1"/>
    <col min="4" max="4" width="21.1796875" customWidth="1"/>
  </cols>
  <sheetData>
    <row r="3" spans="1:5" ht="21" x14ac:dyDescent="0.5">
      <c r="A3" s="4" t="s">
        <v>84</v>
      </c>
      <c r="B3" t="s">
        <v>87</v>
      </c>
      <c r="D3" s="12" t="s">
        <v>88</v>
      </c>
    </row>
    <row r="4" spans="1:5" ht="26" x14ac:dyDescent="0.6">
      <c r="A4" s="5">
        <v>1</v>
      </c>
      <c r="B4" s="6">
        <v>986.5</v>
      </c>
      <c r="D4" s="15">
        <f>(B9-B4)/B4</f>
        <v>0.74657881398884951</v>
      </c>
    </row>
    <row r="5" spans="1:5" x14ac:dyDescent="0.35">
      <c r="A5" s="5">
        <v>2</v>
      </c>
      <c r="B5" s="6">
        <v>1107.3</v>
      </c>
    </row>
    <row r="6" spans="1:5" x14ac:dyDescent="0.35">
      <c r="A6" s="5">
        <v>3</v>
      </c>
      <c r="B6" s="6">
        <v>1203</v>
      </c>
    </row>
    <row r="7" spans="1:5" x14ac:dyDescent="0.35">
      <c r="A7" s="5">
        <v>4</v>
      </c>
      <c r="B7" s="6">
        <v>1287.2</v>
      </c>
    </row>
    <row r="8" spans="1:5" x14ac:dyDescent="0.35">
      <c r="A8" s="5">
        <v>5</v>
      </c>
      <c r="B8" s="6">
        <v>1370.7999999999997</v>
      </c>
    </row>
    <row r="9" spans="1:5" x14ac:dyDescent="0.35">
      <c r="A9" s="5">
        <v>6</v>
      </c>
      <c r="B9" s="6">
        <v>1723</v>
      </c>
      <c r="E9" s="7"/>
    </row>
    <row r="10" spans="1:5" x14ac:dyDescent="0.35">
      <c r="A10" s="5" t="s">
        <v>85</v>
      </c>
      <c r="B10" s="6">
        <v>7677.7999999999993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7ED1C-5450-4806-8249-95C67977D594}">
  <dimension ref="A3:B10"/>
  <sheetViews>
    <sheetView workbookViewId="0">
      <selection activeCell="H8" sqref="H8"/>
    </sheetView>
  </sheetViews>
  <sheetFormatPr defaultRowHeight="14.5" x14ac:dyDescent="0.35"/>
  <cols>
    <col min="1" max="1" width="10.7265625" bestFit="1" customWidth="1"/>
    <col min="2" max="2" width="14.81640625" bestFit="1" customWidth="1"/>
  </cols>
  <sheetData>
    <row r="3" spans="1:2" x14ac:dyDescent="0.35">
      <c r="A3" s="4" t="s">
        <v>83</v>
      </c>
      <c r="B3" t="s">
        <v>87</v>
      </c>
    </row>
    <row r="4" spans="1:2" x14ac:dyDescent="0.35">
      <c r="A4" s="5">
        <v>1</v>
      </c>
      <c r="B4" s="6">
        <v>986.5</v>
      </c>
    </row>
    <row r="5" spans="1:2" x14ac:dyDescent="0.35">
      <c r="A5" s="5">
        <v>2</v>
      </c>
      <c r="B5" s="6">
        <v>1107.3</v>
      </c>
    </row>
    <row r="6" spans="1:2" x14ac:dyDescent="0.35">
      <c r="A6" s="5">
        <v>3</v>
      </c>
      <c r="B6" s="6">
        <v>1203</v>
      </c>
    </row>
    <row r="7" spans="1:2" x14ac:dyDescent="0.35">
      <c r="A7" s="5">
        <v>4</v>
      </c>
      <c r="B7" s="6">
        <v>1287.2</v>
      </c>
    </row>
    <row r="8" spans="1:2" x14ac:dyDescent="0.35">
      <c r="A8" s="5">
        <v>5</v>
      </c>
      <c r="B8" s="6">
        <v>1370.7999999999997</v>
      </c>
    </row>
    <row r="9" spans="1:2" x14ac:dyDescent="0.35">
      <c r="A9" s="5">
        <v>6</v>
      </c>
      <c r="B9" s="6">
        <v>1723</v>
      </c>
    </row>
    <row r="10" spans="1:2" x14ac:dyDescent="0.35">
      <c r="A10" s="5" t="s">
        <v>85</v>
      </c>
      <c r="B10" s="6">
        <v>7677.7999999999993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2B92E-9E9B-4B2F-B438-2161640ED2C5}">
  <dimension ref="A1:L51"/>
  <sheetViews>
    <sheetView topLeftCell="B36" zoomScale="95" zoomScaleNormal="95" workbookViewId="0">
      <selection activeCell="I1" sqref="I1"/>
    </sheetView>
  </sheetViews>
  <sheetFormatPr defaultRowHeight="14.5" x14ac:dyDescent="0.35"/>
  <cols>
    <col min="1" max="1" width="12.81640625" customWidth="1"/>
    <col min="2" max="2" width="14.453125" customWidth="1"/>
    <col min="3" max="3" width="25.453125" customWidth="1"/>
    <col min="4" max="4" width="17.6328125" customWidth="1"/>
    <col min="5" max="5" width="15.1796875" customWidth="1"/>
    <col min="6" max="6" width="15.7265625" customWidth="1"/>
    <col min="7" max="7" width="12.90625" style="3" customWidth="1"/>
    <col min="8" max="8" width="15.81640625" style="2" customWidth="1"/>
    <col min="9" max="9" width="15" style="2" customWidth="1"/>
    <col min="10" max="10" width="18.26953125" customWidth="1"/>
  </cols>
  <sheetData>
    <row r="1" spans="1:12" x14ac:dyDescent="0.35">
      <c r="A1" t="s">
        <v>0</v>
      </c>
      <c r="B1" t="s">
        <v>1</v>
      </c>
      <c r="C1" t="s">
        <v>2</v>
      </c>
      <c r="D1" t="s">
        <v>3</v>
      </c>
      <c r="E1" t="s">
        <v>4</v>
      </c>
      <c r="F1" t="s">
        <v>5</v>
      </c>
      <c r="G1" s="3" t="s">
        <v>6</v>
      </c>
      <c r="H1" s="14" t="s">
        <v>81</v>
      </c>
      <c r="I1" s="14" t="s">
        <v>82</v>
      </c>
      <c r="J1" t="s">
        <v>7</v>
      </c>
      <c r="K1" t="s">
        <v>83</v>
      </c>
      <c r="L1" t="s">
        <v>92</v>
      </c>
    </row>
    <row r="2" spans="1:12" x14ac:dyDescent="0.35">
      <c r="A2" t="s">
        <v>8</v>
      </c>
      <c r="B2" s="1">
        <v>46025</v>
      </c>
      <c r="C2" t="s">
        <v>9</v>
      </c>
      <c r="D2" t="s">
        <v>10</v>
      </c>
      <c r="E2" t="s">
        <v>11</v>
      </c>
      <c r="F2" t="s">
        <v>12</v>
      </c>
      <c r="G2" s="3">
        <v>120</v>
      </c>
      <c r="H2" s="2">
        <v>0.5</v>
      </c>
      <c r="I2" s="2">
        <v>60</v>
      </c>
      <c r="J2" t="s">
        <v>13</v>
      </c>
      <c r="K2">
        <f t="shared" ref="K2:K33" si="0">MONTH(B2)</f>
        <v>1</v>
      </c>
      <c r="L2">
        <f>YEAR(B2)</f>
        <v>2026</v>
      </c>
    </row>
    <row r="3" spans="1:12" x14ac:dyDescent="0.35">
      <c r="A3" t="s">
        <v>14</v>
      </c>
      <c r="B3" s="1">
        <v>46027</v>
      </c>
      <c r="C3" t="s">
        <v>15</v>
      </c>
      <c r="D3" t="s">
        <v>10</v>
      </c>
      <c r="E3" t="s">
        <v>16</v>
      </c>
      <c r="F3" t="s">
        <v>17</v>
      </c>
      <c r="G3" s="3">
        <v>95</v>
      </c>
      <c r="H3" s="2">
        <v>1.2</v>
      </c>
      <c r="I3" s="2">
        <v>114</v>
      </c>
      <c r="J3" t="s">
        <v>18</v>
      </c>
      <c r="K3">
        <f t="shared" si="0"/>
        <v>1</v>
      </c>
      <c r="L3">
        <f t="shared" ref="L3:L51" si="1">YEAR(B3)</f>
        <v>2026</v>
      </c>
    </row>
    <row r="4" spans="1:12" x14ac:dyDescent="0.35">
      <c r="A4" t="s">
        <v>19</v>
      </c>
      <c r="B4" s="1">
        <v>46030</v>
      </c>
      <c r="C4" t="s">
        <v>20</v>
      </c>
      <c r="D4" t="s">
        <v>21</v>
      </c>
      <c r="E4" t="s">
        <v>11</v>
      </c>
      <c r="F4" t="s">
        <v>22</v>
      </c>
      <c r="G4" s="3">
        <v>65</v>
      </c>
      <c r="H4" s="2">
        <v>1.8</v>
      </c>
      <c r="I4" s="2">
        <v>117</v>
      </c>
      <c r="J4" t="s">
        <v>13</v>
      </c>
      <c r="K4">
        <f t="shared" si="0"/>
        <v>1</v>
      </c>
      <c r="L4">
        <f t="shared" si="1"/>
        <v>2026</v>
      </c>
    </row>
    <row r="5" spans="1:12" x14ac:dyDescent="0.35">
      <c r="A5" t="s">
        <v>23</v>
      </c>
      <c r="B5" s="1">
        <v>46034</v>
      </c>
      <c r="C5" t="s">
        <v>24</v>
      </c>
      <c r="D5" t="s">
        <v>21</v>
      </c>
      <c r="E5" t="s">
        <v>16</v>
      </c>
      <c r="F5" t="s">
        <v>17</v>
      </c>
      <c r="G5" s="3">
        <v>45</v>
      </c>
      <c r="H5" s="2">
        <v>4.5</v>
      </c>
      <c r="I5" s="2">
        <v>202.5</v>
      </c>
      <c r="J5" t="s">
        <v>18</v>
      </c>
      <c r="K5">
        <f t="shared" si="0"/>
        <v>1</v>
      </c>
      <c r="L5">
        <f t="shared" si="1"/>
        <v>2026</v>
      </c>
    </row>
    <row r="6" spans="1:12" x14ac:dyDescent="0.35">
      <c r="A6" t="s">
        <v>25</v>
      </c>
      <c r="B6" s="1">
        <v>46037</v>
      </c>
      <c r="C6" t="s">
        <v>26</v>
      </c>
      <c r="D6" t="s">
        <v>10</v>
      </c>
      <c r="E6" t="s">
        <v>11</v>
      </c>
      <c r="F6" t="s">
        <v>12</v>
      </c>
      <c r="G6" s="3">
        <v>80</v>
      </c>
      <c r="H6" s="2">
        <v>0.9</v>
      </c>
      <c r="I6" s="2">
        <v>72</v>
      </c>
      <c r="J6" t="s">
        <v>27</v>
      </c>
      <c r="K6">
        <f t="shared" si="0"/>
        <v>1</v>
      </c>
      <c r="L6">
        <f t="shared" si="1"/>
        <v>2026</v>
      </c>
    </row>
    <row r="7" spans="1:12" x14ac:dyDescent="0.35">
      <c r="A7" t="s">
        <v>28</v>
      </c>
      <c r="B7" s="1">
        <v>46040</v>
      </c>
      <c r="C7" t="s">
        <v>29</v>
      </c>
      <c r="D7" t="s">
        <v>30</v>
      </c>
      <c r="E7" t="s">
        <v>16</v>
      </c>
      <c r="F7" t="s">
        <v>31</v>
      </c>
      <c r="G7" s="3">
        <v>55</v>
      </c>
      <c r="H7" s="2">
        <v>3.2</v>
      </c>
      <c r="I7" s="2">
        <v>176</v>
      </c>
      <c r="J7" t="s">
        <v>32</v>
      </c>
      <c r="K7">
        <f t="shared" si="0"/>
        <v>1</v>
      </c>
      <c r="L7">
        <f t="shared" si="1"/>
        <v>2026</v>
      </c>
    </row>
    <row r="8" spans="1:12" x14ac:dyDescent="0.35">
      <c r="A8" t="s">
        <v>33</v>
      </c>
      <c r="B8" s="1">
        <v>46044</v>
      </c>
      <c r="C8" t="s">
        <v>34</v>
      </c>
      <c r="D8" t="s">
        <v>35</v>
      </c>
      <c r="E8" t="s">
        <v>11</v>
      </c>
      <c r="F8" t="s">
        <v>22</v>
      </c>
      <c r="G8" s="3">
        <v>70</v>
      </c>
      <c r="H8" s="2">
        <v>1.1000000000000001</v>
      </c>
      <c r="I8" s="2">
        <v>77</v>
      </c>
      <c r="J8" t="s">
        <v>13</v>
      </c>
      <c r="K8">
        <f t="shared" si="0"/>
        <v>1</v>
      </c>
      <c r="L8">
        <f t="shared" si="1"/>
        <v>2026</v>
      </c>
    </row>
    <row r="9" spans="1:12" x14ac:dyDescent="0.35">
      <c r="A9" t="s">
        <v>36</v>
      </c>
      <c r="B9" s="1">
        <v>46047</v>
      </c>
      <c r="C9" t="s">
        <v>37</v>
      </c>
      <c r="D9" t="s">
        <v>35</v>
      </c>
      <c r="E9" t="s">
        <v>16</v>
      </c>
      <c r="F9" t="s">
        <v>38</v>
      </c>
      <c r="G9" s="3">
        <v>40</v>
      </c>
      <c r="H9" s="2">
        <v>4.2</v>
      </c>
      <c r="I9" s="2">
        <v>168</v>
      </c>
      <c r="J9" t="s">
        <v>18</v>
      </c>
      <c r="K9">
        <f t="shared" si="0"/>
        <v>1</v>
      </c>
      <c r="L9">
        <f t="shared" si="1"/>
        <v>2026</v>
      </c>
    </row>
    <row r="10" spans="1:12" x14ac:dyDescent="0.35">
      <c r="A10" t="s">
        <v>39</v>
      </c>
      <c r="B10" s="1">
        <v>46055</v>
      </c>
      <c r="C10" t="s">
        <v>9</v>
      </c>
      <c r="D10" t="s">
        <v>10</v>
      </c>
      <c r="E10" t="s">
        <v>11</v>
      </c>
      <c r="F10" t="s">
        <v>12</v>
      </c>
      <c r="G10" s="3">
        <v>135</v>
      </c>
      <c r="H10" s="2">
        <v>0.5</v>
      </c>
      <c r="I10" s="2">
        <v>67.5</v>
      </c>
      <c r="J10" t="s">
        <v>13</v>
      </c>
      <c r="K10">
        <f t="shared" si="0"/>
        <v>2</v>
      </c>
      <c r="L10">
        <f t="shared" si="1"/>
        <v>2026</v>
      </c>
    </row>
    <row r="11" spans="1:12" x14ac:dyDescent="0.35">
      <c r="A11" t="s">
        <v>40</v>
      </c>
      <c r="B11" s="1">
        <v>46057</v>
      </c>
      <c r="C11" t="s">
        <v>15</v>
      </c>
      <c r="D11" t="s">
        <v>10</v>
      </c>
      <c r="E11" t="s">
        <v>16</v>
      </c>
      <c r="F11" t="s">
        <v>17</v>
      </c>
      <c r="G11" s="3">
        <v>105</v>
      </c>
      <c r="H11" s="2">
        <v>1.2</v>
      </c>
      <c r="I11" s="2">
        <v>126</v>
      </c>
      <c r="J11" t="s">
        <v>27</v>
      </c>
      <c r="K11">
        <f t="shared" si="0"/>
        <v>2</v>
      </c>
      <c r="L11">
        <f t="shared" si="1"/>
        <v>2026</v>
      </c>
    </row>
    <row r="12" spans="1:12" x14ac:dyDescent="0.35">
      <c r="A12" t="s">
        <v>41</v>
      </c>
      <c r="B12" s="1">
        <v>46060</v>
      </c>
      <c r="C12" t="s">
        <v>20</v>
      </c>
      <c r="D12" t="s">
        <v>21</v>
      </c>
      <c r="E12" t="s">
        <v>11</v>
      </c>
      <c r="F12" t="s">
        <v>22</v>
      </c>
      <c r="G12" s="3">
        <v>72</v>
      </c>
      <c r="H12" s="2">
        <v>1.8</v>
      </c>
      <c r="I12" s="2">
        <v>129.6</v>
      </c>
      <c r="J12" t="s">
        <v>32</v>
      </c>
      <c r="K12">
        <f t="shared" si="0"/>
        <v>2</v>
      </c>
      <c r="L12">
        <f t="shared" si="1"/>
        <v>2026</v>
      </c>
    </row>
    <row r="13" spans="1:12" x14ac:dyDescent="0.35">
      <c r="A13" t="s">
        <v>42</v>
      </c>
      <c r="B13" s="1">
        <v>46063</v>
      </c>
      <c r="C13" t="s">
        <v>24</v>
      </c>
      <c r="D13" t="s">
        <v>21</v>
      </c>
      <c r="E13" t="s">
        <v>16</v>
      </c>
      <c r="F13" t="s">
        <v>17</v>
      </c>
      <c r="G13" s="3">
        <v>52</v>
      </c>
      <c r="H13" s="2">
        <v>4.5</v>
      </c>
      <c r="I13" s="2">
        <v>234</v>
      </c>
      <c r="J13" t="s">
        <v>13</v>
      </c>
      <c r="K13">
        <f t="shared" si="0"/>
        <v>2</v>
      </c>
      <c r="L13">
        <f t="shared" si="1"/>
        <v>2026</v>
      </c>
    </row>
    <row r="14" spans="1:12" x14ac:dyDescent="0.35">
      <c r="A14" t="s">
        <v>43</v>
      </c>
      <c r="B14" s="1">
        <v>46067</v>
      </c>
      <c r="C14" t="s">
        <v>26</v>
      </c>
      <c r="D14" t="s">
        <v>10</v>
      </c>
      <c r="E14" t="s">
        <v>11</v>
      </c>
      <c r="F14" t="s">
        <v>12</v>
      </c>
      <c r="G14" s="3">
        <v>88</v>
      </c>
      <c r="H14" s="2">
        <v>0.9</v>
      </c>
      <c r="I14" s="2">
        <v>79.2</v>
      </c>
      <c r="J14" t="s">
        <v>18</v>
      </c>
      <c r="K14">
        <f t="shared" si="0"/>
        <v>2</v>
      </c>
      <c r="L14">
        <f t="shared" si="1"/>
        <v>2026</v>
      </c>
    </row>
    <row r="15" spans="1:12" x14ac:dyDescent="0.35">
      <c r="A15" t="s">
        <v>44</v>
      </c>
      <c r="B15" s="1">
        <v>46070</v>
      </c>
      <c r="C15" t="s">
        <v>29</v>
      </c>
      <c r="D15" t="s">
        <v>30</v>
      </c>
      <c r="E15" t="s">
        <v>16</v>
      </c>
      <c r="F15" t="s">
        <v>31</v>
      </c>
      <c r="G15" s="3">
        <v>60</v>
      </c>
      <c r="H15" s="2">
        <v>3.2</v>
      </c>
      <c r="I15" s="2">
        <v>192</v>
      </c>
      <c r="J15" t="s">
        <v>27</v>
      </c>
      <c r="K15">
        <f t="shared" si="0"/>
        <v>2</v>
      </c>
      <c r="L15">
        <f t="shared" si="1"/>
        <v>2026</v>
      </c>
    </row>
    <row r="16" spans="1:12" x14ac:dyDescent="0.35">
      <c r="A16" t="s">
        <v>45</v>
      </c>
      <c r="B16" s="1">
        <v>46073</v>
      </c>
      <c r="C16" t="s">
        <v>34</v>
      </c>
      <c r="D16" t="s">
        <v>35</v>
      </c>
      <c r="E16" t="s">
        <v>11</v>
      </c>
      <c r="F16" t="s">
        <v>22</v>
      </c>
      <c r="G16" s="3">
        <v>78</v>
      </c>
      <c r="H16" s="2">
        <v>1.1000000000000001</v>
      </c>
      <c r="I16" s="2">
        <v>85.8</v>
      </c>
      <c r="J16" t="s">
        <v>32</v>
      </c>
      <c r="K16">
        <f t="shared" si="0"/>
        <v>2</v>
      </c>
      <c r="L16">
        <f t="shared" si="1"/>
        <v>2026</v>
      </c>
    </row>
    <row r="17" spans="1:12" x14ac:dyDescent="0.35">
      <c r="A17" t="s">
        <v>46</v>
      </c>
      <c r="B17" s="1">
        <v>46078</v>
      </c>
      <c r="C17" t="s">
        <v>37</v>
      </c>
      <c r="D17" t="s">
        <v>35</v>
      </c>
      <c r="E17" t="s">
        <v>16</v>
      </c>
      <c r="F17" t="s">
        <v>38</v>
      </c>
      <c r="G17" s="3">
        <v>46</v>
      </c>
      <c r="H17" s="2">
        <v>4.2</v>
      </c>
      <c r="I17" s="2">
        <v>193.2</v>
      </c>
      <c r="J17" t="s">
        <v>13</v>
      </c>
      <c r="K17">
        <f t="shared" si="0"/>
        <v>2</v>
      </c>
      <c r="L17">
        <f t="shared" si="1"/>
        <v>2026</v>
      </c>
    </row>
    <row r="18" spans="1:12" x14ac:dyDescent="0.35">
      <c r="A18" t="s">
        <v>47</v>
      </c>
      <c r="B18" s="1">
        <v>46082</v>
      </c>
      <c r="C18" t="s">
        <v>9</v>
      </c>
      <c r="D18" t="s">
        <v>10</v>
      </c>
      <c r="E18" t="s">
        <v>11</v>
      </c>
      <c r="F18" t="s">
        <v>12</v>
      </c>
      <c r="G18" s="3">
        <v>145</v>
      </c>
      <c r="H18" s="2">
        <v>0.5</v>
      </c>
      <c r="I18" s="2">
        <v>72.5</v>
      </c>
      <c r="J18" t="s">
        <v>18</v>
      </c>
      <c r="K18">
        <f t="shared" si="0"/>
        <v>3</v>
      </c>
      <c r="L18">
        <f t="shared" si="1"/>
        <v>2026</v>
      </c>
    </row>
    <row r="19" spans="1:12" x14ac:dyDescent="0.35">
      <c r="A19" t="s">
        <v>48</v>
      </c>
      <c r="B19" s="1">
        <v>46085</v>
      </c>
      <c r="C19" t="s">
        <v>15</v>
      </c>
      <c r="D19" t="s">
        <v>10</v>
      </c>
      <c r="E19" t="s">
        <v>16</v>
      </c>
      <c r="F19" t="s">
        <v>17</v>
      </c>
      <c r="G19" s="3">
        <v>112</v>
      </c>
      <c r="H19" s="2">
        <v>1.2</v>
      </c>
      <c r="I19" s="2">
        <v>134.4</v>
      </c>
      <c r="J19" t="s">
        <v>13</v>
      </c>
      <c r="K19">
        <f t="shared" si="0"/>
        <v>3</v>
      </c>
      <c r="L19">
        <f t="shared" si="1"/>
        <v>2026</v>
      </c>
    </row>
    <row r="20" spans="1:12" x14ac:dyDescent="0.35">
      <c r="A20" t="s">
        <v>49</v>
      </c>
      <c r="B20" s="1">
        <v>46089</v>
      </c>
      <c r="C20" t="s">
        <v>20</v>
      </c>
      <c r="D20" t="s">
        <v>21</v>
      </c>
      <c r="E20" t="s">
        <v>11</v>
      </c>
      <c r="F20" t="s">
        <v>22</v>
      </c>
      <c r="G20" s="3">
        <v>80</v>
      </c>
      <c r="H20" s="2">
        <v>1.8</v>
      </c>
      <c r="I20" s="2">
        <v>144</v>
      </c>
      <c r="J20" t="s">
        <v>27</v>
      </c>
      <c r="K20">
        <f t="shared" si="0"/>
        <v>3</v>
      </c>
      <c r="L20">
        <f t="shared" si="1"/>
        <v>2026</v>
      </c>
    </row>
    <row r="21" spans="1:12" x14ac:dyDescent="0.35">
      <c r="A21" t="s">
        <v>50</v>
      </c>
      <c r="B21" s="1">
        <v>46092</v>
      </c>
      <c r="C21" t="s">
        <v>24</v>
      </c>
      <c r="D21" t="s">
        <v>21</v>
      </c>
      <c r="E21" t="s">
        <v>16</v>
      </c>
      <c r="F21" t="s">
        <v>17</v>
      </c>
      <c r="G21" s="3">
        <v>58</v>
      </c>
      <c r="H21" s="2">
        <v>4.5</v>
      </c>
      <c r="I21" s="2">
        <v>261</v>
      </c>
      <c r="J21" t="s">
        <v>32</v>
      </c>
      <c r="K21">
        <f t="shared" si="0"/>
        <v>3</v>
      </c>
      <c r="L21">
        <f t="shared" si="1"/>
        <v>2026</v>
      </c>
    </row>
    <row r="22" spans="1:12" x14ac:dyDescent="0.35">
      <c r="A22" t="s">
        <v>51</v>
      </c>
      <c r="B22" s="1">
        <v>46096</v>
      </c>
      <c r="C22" t="s">
        <v>26</v>
      </c>
      <c r="D22" t="s">
        <v>10</v>
      </c>
      <c r="E22" t="s">
        <v>11</v>
      </c>
      <c r="F22" t="s">
        <v>12</v>
      </c>
      <c r="G22" s="3">
        <v>92</v>
      </c>
      <c r="H22" s="2">
        <v>0.9</v>
      </c>
      <c r="I22" s="2">
        <v>82.8</v>
      </c>
      <c r="J22" t="s">
        <v>13</v>
      </c>
      <c r="K22">
        <f t="shared" si="0"/>
        <v>3</v>
      </c>
      <c r="L22">
        <f t="shared" si="1"/>
        <v>2026</v>
      </c>
    </row>
    <row r="23" spans="1:12" x14ac:dyDescent="0.35">
      <c r="A23" t="s">
        <v>52</v>
      </c>
      <c r="B23" s="1">
        <v>46099</v>
      </c>
      <c r="C23" t="s">
        <v>29</v>
      </c>
      <c r="D23" t="s">
        <v>30</v>
      </c>
      <c r="E23" t="s">
        <v>16</v>
      </c>
      <c r="F23" t="s">
        <v>31</v>
      </c>
      <c r="G23" s="3">
        <v>64</v>
      </c>
      <c r="H23" s="2">
        <v>3.2</v>
      </c>
      <c r="I23" s="2">
        <v>204.8</v>
      </c>
      <c r="J23" t="s">
        <v>18</v>
      </c>
      <c r="K23">
        <f t="shared" si="0"/>
        <v>3</v>
      </c>
      <c r="L23">
        <f t="shared" si="1"/>
        <v>2026</v>
      </c>
    </row>
    <row r="24" spans="1:12" x14ac:dyDescent="0.35">
      <c r="A24" t="s">
        <v>53</v>
      </c>
      <c r="B24" s="1">
        <v>46103</v>
      </c>
      <c r="C24" t="s">
        <v>34</v>
      </c>
      <c r="D24" t="s">
        <v>35</v>
      </c>
      <c r="E24" t="s">
        <v>11</v>
      </c>
      <c r="F24" t="s">
        <v>22</v>
      </c>
      <c r="G24" s="3">
        <v>85</v>
      </c>
      <c r="H24" s="2">
        <v>1.1000000000000001</v>
      </c>
      <c r="I24" s="2">
        <v>93.5</v>
      </c>
      <c r="J24" t="s">
        <v>27</v>
      </c>
      <c r="K24">
        <f t="shared" si="0"/>
        <v>3</v>
      </c>
      <c r="L24">
        <f t="shared" si="1"/>
        <v>2026</v>
      </c>
    </row>
    <row r="25" spans="1:12" x14ac:dyDescent="0.35">
      <c r="A25" t="s">
        <v>54</v>
      </c>
      <c r="B25" s="1">
        <v>46108</v>
      </c>
      <c r="C25" t="s">
        <v>37</v>
      </c>
      <c r="D25" t="s">
        <v>35</v>
      </c>
      <c r="E25" t="s">
        <v>16</v>
      </c>
      <c r="F25" t="s">
        <v>38</v>
      </c>
      <c r="G25" s="3">
        <v>50</v>
      </c>
      <c r="H25" s="2">
        <v>4.2</v>
      </c>
      <c r="I25" s="2">
        <v>210</v>
      </c>
      <c r="J25" t="s">
        <v>32</v>
      </c>
      <c r="K25">
        <f t="shared" si="0"/>
        <v>3</v>
      </c>
      <c r="L25">
        <f t="shared" si="1"/>
        <v>2026</v>
      </c>
    </row>
    <row r="26" spans="1:12" x14ac:dyDescent="0.35">
      <c r="A26" t="s">
        <v>55</v>
      </c>
      <c r="B26" s="1">
        <v>46114</v>
      </c>
      <c r="C26" t="s">
        <v>9</v>
      </c>
      <c r="D26" t="s">
        <v>10</v>
      </c>
      <c r="E26" t="s">
        <v>11</v>
      </c>
      <c r="F26" t="s">
        <v>12</v>
      </c>
      <c r="G26" s="3">
        <v>155</v>
      </c>
      <c r="H26" s="2">
        <v>0.5</v>
      </c>
      <c r="I26" s="2">
        <v>77.5</v>
      </c>
      <c r="J26" t="s">
        <v>13</v>
      </c>
      <c r="K26">
        <f t="shared" si="0"/>
        <v>4</v>
      </c>
      <c r="L26">
        <f t="shared" si="1"/>
        <v>2026</v>
      </c>
    </row>
    <row r="27" spans="1:12" x14ac:dyDescent="0.35">
      <c r="A27" t="s">
        <v>56</v>
      </c>
      <c r="B27" s="1">
        <v>46117</v>
      </c>
      <c r="C27" t="s">
        <v>15</v>
      </c>
      <c r="D27" t="s">
        <v>10</v>
      </c>
      <c r="E27" t="s">
        <v>16</v>
      </c>
      <c r="F27" t="s">
        <v>17</v>
      </c>
      <c r="G27" s="3">
        <v>118</v>
      </c>
      <c r="H27" s="2">
        <v>1.2</v>
      </c>
      <c r="I27" s="2">
        <v>141.6</v>
      </c>
      <c r="J27" t="s">
        <v>18</v>
      </c>
      <c r="K27">
        <f t="shared" si="0"/>
        <v>4</v>
      </c>
      <c r="L27">
        <f t="shared" si="1"/>
        <v>2026</v>
      </c>
    </row>
    <row r="28" spans="1:12" x14ac:dyDescent="0.35">
      <c r="A28" t="s">
        <v>57</v>
      </c>
      <c r="B28" s="1">
        <v>46121</v>
      </c>
      <c r="C28" t="s">
        <v>20</v>
      </c>
      <c r="D28" t="s">
        <v>21</v>
      </c>
      <c r="E28" t="s">
        <v>11</v>
      </c>
      <c r="F28" t="s">
        <v>22</v>
      </c>
      <c r="G28" s="3">
        <v>86</v>
      </c>
      <c r="H28" s="2">
        <v>1.8</v>
      </c>
      <c r="I28" s="2">
        <v>154.80000000000001</v>
      </c>
      <c r="J28" t="s">
        <v>27</v>
      </c>
      <c r="K28">
        <f t="shared" si="0"/>
        <v>4</v>
      </c>
      <c r="L28">
        <f t="shared" si="1"/>
        <v>2026</v>
      </c>
    </row>
    <row r="29" spans="1:12" x14ac:dyDescent="0.35">
      <c r="A29" t="s">
        <v>58</v>
      </c>
      <c r="B29" s="1">
        <v>46124</v>
      </c>
      <c r="C29" t="s">
        <v>24</v>
      </c>
      <c r="D29" t="s">
        <v>21</v>
      </c>
      <c r="E29" t="s">
        <v>16</v>
      </c>
      <c r="F29" t="s">
        <v>17</v>
      </c>
      <c r="G29" s="3">
        <v>63</v>
      </c>
      <c r="H29" s="2">
        <v>4.5</v>
      </c>
      <c r="I29" s="2">
        <v>283.5</v>
      </c>
      <c r="J29" t="s">
        <v>13</v>
      </c>
      <c r="K29">
        <f t="shared" si="0"/>
        <v>4</v>
      </c>
      <c r="L29">
        <f t="shared" si="1"/>
        <v>2026</v>
      </c>
    </row>
    <row r="30" spans="1:12" x14ac:dyDescent="0.35">
      <c r="A30" t="s">
        <v>59</v>
      </c>
      <c r="B30" s="1">
        <v>46128</v>
      </c>
      <c r="C30" t="s">
        <v>26</v>
      </c>
      <c r="D30" t="s">
        <v>10</v>
      </c>
      <c r="E30" t="s">
        <v>11</v>
      </c>
      <c r="F30" t="s">
        <v>12</v>
      </c>
      <c r="G30" s="3">
        <v>96</v>
      </c>
      <c r="H30" s="2">
        <v>0.9</v>
      </c>
      <c r="I30" s="2">
        <v>86.4</v>
      </c>
      <c r="J30" t="s">
        <v>32</v>
      </c>
      <c r="K30">
        <f t="shared" si="0"/>
        <v>4</v>
      </c>
      <c r="L30">
        <f t="shared" si="1"/>
        <v>2026</v>
      </c>
    </row>
    <row r="31" spans="1:12" x14ac:dyDescent="0.35">
      <c r="A31" t="s">
        <v>60</v>
      </c>
      <c r="B31" s="1">
        <v>46131</v>
      </c>
      <c r="C31" t="s">
        <v>29</v>
      </c>
      <c r="D31" t="s">
        <v>30</v>
      </c>
      <c r="E31" t="s">
        <v>16</v>
      </c>
      <c r="F31" t="s">
        <v>31</v>
      </c>
      <c r="G31" s="3">
        <v>68</v>
      </c>
      <c r="H31" s="2">
        <v>3.2</v>
      </c>
      <c r="I31" s="2">
        <v>217.6</v>
      </c>
      <c r="J31" t="s">
        <v>27</v>
      </c>
      <c r="K31">
        <f t="shared" si="0"/>
        <v>4</v>
      </c>
      <c r="L31">
        <f t="shared" si="1"/>
        <v>2026</v>
      </c>
    </row>
    <row r="32" spans="1:12" x14ac:dyDescent="0.35">
      <c r="A32" t="s">
        <v>61</v>
      </c>
      <c r="B32" s="1">
        <v>46134</v>
      </c>
      <c r="C32" t="s">
        <v>34</v>
      </c>
      <c r="D32" t="s">
        <v>35</v>
      </c>
      <c r="E32" t="s">
        <v>11</v>
      </c>
      <c r="F32" t="s">
        <v>22</v>
      </c>
      <c r="G32" s="3">
        <v>90</v>
      </c>
      <c r="H32" s="2">
        <v>1.1000000000000001</v>
      </c>
      <c r="I32" s="2">
        <v>99</v>
      </c>
      <c r="J32" t="s">
        <v>13</v>
      </c>
      <c r="K32">
        <f t="shared" si="0"/>
        <v>4</v>
      </c>
      <c r="L32">
        <f t="shared" si="1"/>
        <v>2026</v>
      </c>
    </row>
    <row r="33" spans="1:12" x14ac:dyDescent="0.35">
      <c r="A33" t="s">
        <v>62</v>
      </c>
      <c r="B33" s="1">
        <v>46138</v>
      </c>
      <c r="C33" t="s">
        <v>37</v>
      </c>
      <c r="D33" t="s">
        <v>35</v>
      </c>
      <c r="E33" t="s">
        <v>16</v>
      </c>
      <c r="F33" t="s">
        <v>38</v>
      </c>
      <c r="G33" s="3">
        <v>54</v>
      </c>
      <c r="H33" s="2">
        <v>4.2</v>
      </c>
      <c r="I33" s="2">
        <v>226.8</v>
      </c>
      <c r="J33" t="s">
        <v>18</v>
      </c>
      <c r="K33">
        <f t="shared" si="0"/>
        <v>4</v>
      </c>
      <c r="L33">
        <f t="shared" si="1"/>
        <v>2026</v>
      </c>
    </row>
    <row r="34" spans="1:12" x14ac:dyDescent="0.35">
      <c r="A34" t="s">
        <v>63</v>
      </c>
      <c r="B34" s="1">
        <v>46145</v>
      </c>
      <c r="C34" t="s">
        <v>9</v>
      </c>
      <c r="D34" t="s">
        <v>10</v>
      </c>
      <c r="E34" t="s">
        <v>11</v>
      </c>
      <c r="F34" t="s">
        <v>12</v>
      </c>
      <c r="G34" s="3">
        <v>165</v>
      </c>
      <c r="H34" s="2">
        <v>0.5</v>
      </c>
      <c r="I34" s="2">
        <v>82.5</v>
      </c>
      <c r="J34" t="s">
        <v>32</v>
      </c>
      <c r="K34">
        <f t="shared" ref="K34:K51" si="2">MONTH(B34)</f>
        <v>5</v>
      </c>
      <c r="L34">
        <f t="shared" si="1"/>
        <v>2026</v>
      </c>
    </row>
    <row r="35" spans="1:12" x14ac:dyDescent="0.35">
      <c r="A35" t="s">
        <v>64</v>
      </c>
      <c r="B35" s="1">
        <v>46148</v>
      </c>
      <c r="C35" t="s">
        <v>15</v>
      </c>
      <c r="D35" t="s">
        <v>10</v>
      </c>
      <c r="E35" t="s">
        <v>16</v>
      </c>
      <c r="F35" t="s">
        <v>17</v>
      </c>
      <c r="G35" s="3">
        <v>125</v>
      </c>
      <c r="H35" s="2">
        <v>1.2</v>
      </c>
      <c r="I35" s="2">
        <v>150</v>
      </c>
      <c r="J35" t="s">
        <v>13</v>
      </c>
      <c r="K35">
        <f t="shared" si="2"/>
        <v>5</v>
      </c>
      <c r="L35">
        <f t="shared" si="1"/>
        <v>2026</v>
      </c>
    </row>
    <row r="36" spans="1:12" x14ac:dyDescent="0.35">
      <c r="A36" t="s">
        <v>65</v>
      </c>
      <c r="B36" s="1">
        <v>46151</v>
      </c>
      <c r="C36" t="s">
        <v>20</v>
      </c>
      <c r="D36" t="s">
        <v>21</v>
      </c>
      <c r="E36" t="s">
        <v>11</v>
      </c>
      <c r="F36" t="s">
        <v>22</v>
      </c>
      <c r="G36" s="3">
        <v>90</v>
      </c>
      <c r="H36" s="2">
        <v>1.8</v>
      </c>
      <c r="I36" s="2">
        <v>162</v>
      </c>
      <c r="J36" t="s">
        <v>18</v>
      </c>
      <c r="K36">
        <f t="shared" si="2"/>
        <v>5</v>
      </c>
      <c r="L36">
        <f t="shared" si="1"/>
        <v>2026</v>
      </c>
    </row>
    <row r="37" spans="1:12" x14ac:dyDescent="0.35">
      <c r="A37" t="s">
        <v>66</v>
      </c>
      <c r="B37" s="1">
        <v>46155</v>
      </c>
      <c r="C37" t="s">
        <v>24</v>
      </c>
      <c r="D37" t="s">
        <v>21</v>
      </c>
      <c r="E37" t="s">
        <v>16</v>
      </c>
      <c r="F37" t="s">
        <v>17</v>
      </c>
      <c r="G37" s="3">
        <v>68</v>
      </c>
      <c r="H37" s="2">
        <v>4.5</v>
      </c>
      <c r="I37" s="2">
        <v>306</v>
      </c>
      <c r="J37" t="s">
        <v>27</v>
      </c>
      <c r="K37">
        <f t="shared" si="2"/>
        <v>5</v>
      </c>
      <c r="L37">
        <f t="shared" si="1"/>
        <v>2026</v>
      </c>
    </row>
    <row r="38" spans="1:12" x14ac:dyDescent="0.35">
      <c r="A38" t="s">
        <v>67</v>
      </c>
      <c r="B38" s="1">
        <v>46159</v>
      </c>
      <c r="C38" t="s">
        <v>26</v>
      </c>
      <c r="D38" t="s">
        <v>10</v>
      </c>
      <c r="E38" t="s">
        <v>11</v>
      </c>
      <c r="F38" t="s">
        <v>12</v>
      </c>
      <c r="G38" s="3">
        <v>102</v>
      </c>
      <c r="H38" s="2">
        <v>0.9</v>
      </c>
      <c r="I38" s="2">
        <v>91.8</v>
      </c>
      <c r="J38" t="s">
        <v>13</v>
      </c>
      <c r="K38">
        <f t="shared" si="2"/>
        <v>5</v>
      </c>
      <c r="L38">
        <f t="shared" si="1"/>
        <v>2026</v>
      </c>
    </row>
    <row r="39" spans="1:12" x14ac:dyDescent="0.35">
      <c r="A39" t="s">
        <v>68</v>
      </c>
      <c r="B39" s="1">
        <v>46162</v>
      </c>
      <c r="C39" t="s">
        <v>29</v>
      </c>
      <c r="D39" t="s">
        <v>30</v>
      </c>
      <c r="E39" t="s">
        <v>16</v>
      </c>
      <c r="F39" t="s">
        <v>31</v>
      </c>
      <c r="G39" s="3">
        <v>72</v>
      </c>
      <c r="H39" s="2">
        <v>3.2</v>
      </c>
      <c r="I39" s="2">
        <v>230.4</v>
      </c>
      <c r="J39" t="s">
        <v>32</v>
      </c>
      <c r="K39">
        <f t="shared" si="2"/>
        <v>5</v>
      </c>
      <c r="L39">
        <f t="shared" si="1"/>
        <v>2026</v>
      </c>
    </row>
    <row r="40" spans="1:12" x14ac:dyDescent="0.35">
      <c r="A40" t="s">
        <v>69</v>
      </c>
      <c r="B40" s="1">
        <v>46165</v>
      </c>
      <c r="C40" t="s">
        <v>34</v>
      </c>
      <c r="D40" t="s">
        <v>35</v>
      </c>
      <c r="E40" t="s">
        <v>11</v>
      </c>
      <c r="F40" t="s">
        <v>22</v>
      </c>
      <c r="G40" s="3">
        <v>95</v>
      </c>
      <c r="H40" s="2">
        <v>1.1000000000000001</v>
      </c>
      <c r="I40" s="2">
        <v>104.5</v>
      </c>
      <c r="J40" t="s">
        <v>27</v>
      </c>
      <c r="K40">
        <f t="shared" si="2"/>
        <v>5</v>
      </c>
      <c r="L40">
        <f t="shared" si="1"/>
        <v>2026</v>
      </c>
    </row>
    <row r="41" spans="1:12" x14ac:dyDescent="0.35">
      <c r="A41" t="s">
        <v>70</v>
      </c>
      <c r="B41" s="1">
        <v>46170</v>
      </c>
      <c r="C41" t="s">
        <v>37</v>
      </c>
      <c r="D41" t="s">
        <v>35</v>
      </c>
      <c r="E41" t="s">
        <v>16</v>
      </c>
      <c r="F41" t="s">
        <v>38</v>
      </c>
      <c r="G41" s="3">
        <v>58</v>
      </c>
      <c r="H41" s="2">
        <v>4.2</v>
      </c>
      <c r="I41" s="2">
        <v>243.6</v>
      </c>
      <c r="J41" t="s">
        <v>13</v>
      </c>
      <c r="K41">
        <f t="shared" si="2"/>
        <v>5</v>
      </c>
      <c r="L41">
        <f t="shared" si="1"/>
        <v>2026</v>
      </c>
    </row>
    <row r="42" spans="1:12" x14ac:dyDescent="0.35">
      <c r="A42" t="s">
        <v>71</v>
      </c>
      <c r="B42" s="1">
        <v>46175</v>
      </c>
      <c r="C42" t="s">
        <v>9</v>
      </c>
      <c r="D42" t="s">
        <v>10</v>
      </c>
      <c r="E42" t="s">
        <v>11</v>
      </c>
      <c r="F42" t="s">
        <v>12</v>
      </c>
      <c r="G42" s="3">
        <v>175</v>
      </c>
      <c r="H42" s="2">
        <v>0.5</v>
      </c>
      <c r="I42" s="2">
        <v>87.5</v>
      </c>
      <c r="J42" t="s">
        <v>18</v>
      </c>
      <c r="K42">
        <f t="shared" si="2"/>
        <v>6</v>
      </c>
      <c r="L42">
        <f t="shared" si="1"/>
        <v>2026</v>
      </c>
    </row>
    <row r="43" spans="1:12" x14ac:dyDescent="0.35">
      <c r="A43" t="s">
        <v>72</v>
      </c>
      <c r="B43" s="1">
        <v>46178</v>
      </c>
      <c r="C43" t="s">
        <v>15</v>
      </c>
      <c r="D43" t="s">
        <v>10</v>
      </c>
      <c r="E43" t="s">
        <v>16</v>
      </c>
      <c r="F43" t="s">
        <v>17</v>
      </c>
      <c r="G43" s="3">
        <v>132</v>
      </c>
      <c r="H43" s="2">
        <v>1.2</v>
      </c>
      <c r="I43" s="2">
        <v>158.4</v>
      </c>
      <c r="J43" t="s">
        <v>13</v>
      </c>
      <c r="K43">
        <f t="shared" si="2"/>
        <v>6</v>
      </c>
      <c r="L43">
        <f t="shared" si="1"/>
        <v>2026</v>
      </c>
    </row>
    <row r="44" spans="1:12" x14ac:dyDescent="0.35">
      <c r="A44" t="s">
        <v>73</v>
      </c>
      <c r="B44" s="1">
        <v>46182</v>
      </c>
      <c r="C44" t="s">
        <v>20</v>
      </c>
      <c r="D44" t="s">
        <v>21</v>
      </c>
      <c r="E44" t="s">
        <v>11</v>
      </c>
      <c r="F44" t="s">
        <v>22</v>
      </c>
      <c r="G44" s="3">
        <v>96</v>
      </c>
      <c r="H44" s="2">
        <v>1.8</v>
      </c>
      <c r="I44" s="2">
        <v>172.8</v>
      </c>
      <c r="J44" t="s">
        <v>32</v>
      </c>
      <c r="K44">
        <f t="shared" si="2"/>
        <v>6</v>
      </c>
      <c r="L44">
        <f t="shared" si="1"/>
        <v>2026</v>
      </c>
    </row>
    <row r="45" spans="1:12" x14ac:dyDescent="0.35">
      <c r="A45" t="s">
        <v>74</v>
      </c>
      <c r="B45" s="1">
        <v>46185</v>
      </c>
      <c r="C45" t="s">
        <v>24</v>
      </c>
      <c r="D45" t="s">
        <v>21</v>
      </c>
      <c r="E45" t="s">
        <v>16</v>
      </c>
      <c r="F45" t="s">
        <v>17</v>
      </c>
      <c r="G45" s="3">
        <v>74</v>
      </c>
      <c r="H45" s="2">
        <v>4.5</v>
      </c>
      <c r="I45" s="2">
        <v>333</v>
      </c>
      <c r="J45" t="s">
        <v>27</v>
      </c>
      <c r="K45">
        <f t="shared" si="2"/>
        <v>6</v>
      </c>
      <c r="L45">
        <f t="shared" si="1"/>
        <v>2026</v>
      </c>
    </row>
    <row r="46" spans="1:12" x14ac:dyDescent="0.35">
      <c r="A46" t="s">
        <v>75</v>
      </c>
      <c r="B46" s="1">
        <v>46189</v>
      </c>
      <c r="C46" t="s">
        <v>26</v>
      </c>
      <c r="D46" t="s">
        <v>10</v>
      </c>
      <c r="E46" t="s">
        <v>11</v>
      </c>
      <c r="F46" t="s">
        <v>12</v>
      </c>
      <c r="G46" s="3">
        <v>108</v>
      </c>
      <c r="H46" s="2">
        <v>0.9</v>
      </c>
      <c r="I46" s="2">
        <v>97.2</v>
      </c>
      <c r="J46" t="s">
        <v>13</v>
      </c>
      <c r="K46">
        <f t="shared" si="2"/>
        <v>6</v>
      </c>
      <c r="L46">
        <f t="shared" si="1"/>
        <v>2026</v>
      </c>
    </row>
    <row r="47" spans="1:12" x14ac:dyDescent="0.35">
      <c r="A47" t="s">
        <v>76</v>
      </c>
      <c r="B47" s="1">
        <v>46192</v>
      </c>
      <c r="C47" t="s">
        <v>29</v>
      </c>
      <c r="D47" t="s">
        <v>30</v>
      </c>
      <c r="E47" t="s">
        <v>16</v>
      </c>
      <c r="F47" t="s">
        <v>31</v>
      </c>
      <c r="G47" s="3">
        <v>76</v>
      </c>
      <c r="H47" s="2">
        <v>3.2</v>
      </c>
      <c r="I47" s="2">
        <v>243.2</v>
      </c>
      <c r="J47" t="s">
        <v>18</v>
      </c>
      <c r="K47">
        <f t="shared" si="2"/>
        <v>6</v>
      </c>
      <c r="L47">
        <f t="shared" si="1"/>
        <v>2026</v>
      </c>
    </row>
    <row r="48" spans="1:12" x14ac:dyDescent="0.35">
      <c r="A48" t="s">
        <v>77</v>
      </c>
      <c r="B48" s="1">
        <v>46195</v>
      </c>
      <c r="C48" t="s">
        <v>34</v>
      </c>
      <c r="D48" t="s">
        <v>35</v>
      </c>
      <c r="E48" t="s">
        <v>11</v>
      </c>
      <c r="F48" t="s">
        <v>22</v>
      </c>
      <c r="G48" s="3">
        <v>100</v>
      </c>
      <c r="H48" s="2">
        <v>1.1000000000000001</v>
      </c>
      <c r="I48" s="2">
        <v>110</v>
      </c>
      <c r="J48" t="s">
        <v>27</v>
      </c>
      <c r="K48">
        <f t="shared" si="2"/>
        <v>6</v>
      </c>
      <c r="L48">
        <f t="shared" si="1"/>
        <v>2026</v>
      </c>
    </row>
    <row r="49" spans="1:12" x14ac:dyDescent="0.35">
      <c r="A49" t="s">
        <v>78</v>
      </c>
      <c r="B49" s="1">
        <v>46198</v>
      </c>
      <c r="C49" t="s">
        <v>37</v>
      </c>
      <c r="D49" t="s">
        <v>35</v>
      </c>
      <c r="E49" t="s">
        <v>16</v>
      </c>
      <c r="F49" t="s">
        <v>38</v>
      </c>
      <c r="G49" s="3">
        <v>62</v>
      </c>
      <c r="H49" s="2">
        <v>4.2</v>
      </c>
      <c r="I49" s="2">
        <v>260.39999999999998</v>
      </c>
      <c r="J49" t="s">
        <v>32</v>
      </c>
      <c r="K49">
        <f t="shared" si="2"/>
        <v>6</v>
      </c>
      <c r="L49">
        <f t="shared" si="1"/>
        <v>2026</v>
      </c>
    </row>
    <row r="50" spans="1:12" x14ac:dyDescent="0.35">
      <c r="A50" t="s">
        <v>79</v>
      </c>
      <c r="B50" s="1">
        <v>46201</v>
      </c>
      <c r="C50" t="s">
        <v>9</v>
      </c>
      <c r="D50" t="s">
        <v>10</v>
      </c>
      <c r="E50" t="s">
        <v>11</v>
      </c>
      <c r="F50" t="s">
        <v>12</v>
      </c>
      <c r="G50" s="3">
        <v>185</v>
      </c>
      <c r="H50" s="2">
        <v>0.5</v>
      </c>
      <c r="I50" s="2">
        <v>92.5</v>
      </c>
      <c r="J50" t="s">
        <v>13</v>
      </c>
      <c r="K50">
        <f t="shared" si="2"/>
        <v>6</v>
      </c>
      <c r="L50">
        <f t="shared" si="1"/>
        <v>2026</v>
      </c>
    </row>
    <row r="51" spans="1:12" x14ac:dyDescent="0.35">
      <c r="A51" t="s">
        <v>80</v>
      </c>
      <c r="B51" s="1">
        <v>46203</v>
      </c>
      <c r="C51" t="s">
        <v>15</v>
      </c>
      <c r="D51" t="s">
        <v>10</v>
      </c>
      <c r="E51" t="s">
        <v>16</v>
      </c>
      <c r="F51" t="s">
        <v>17</v>
      </c>
      <c r="G51" s="3">
        <v>140</v>
      </c>
      <c r="H51" s="2">
        <v>1.2</v>
      </c>
      <c r="I51" s="2">
        <v>168</v>
      </c>
      <c r="J51" t="s">
        <v>18</v>
      </c>
      <c r="K51">
        <f t="shared" si="2"/>
        <v>6</v>
      </c>
      <c r="L51">
        <f t="shared" si="1"/>
        <v>2026</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D807-9DB2-4D78-80B5-12B5D34E0EE2}">
  <dimension ref="A1:L5"/>
  <sheetViews>
    <sheetView tabSelected="1" zoomScale="51" zoomScaleNormal="51" workbookViewId="0">
      <selection activeCell="N13" sqref="N13"/>
    </sheetView>
  </sheetViews>
  <sheetFormatPr defaultRowHeight="14.5" x14ac:dyDescent="0.35"/>
  <cols>
    <col min="2" max="2" width="22.54296875" customWidth="1"/>
    <col min="3" max="3" width="4.36328125" customWidth="1"/>
    <col min="4" max="4" width="22.6328125" customWidth="1"/>
    <col min="5" max="5" width="5" customWidth="1"/>
    <col min="6" max="6" width="24.81640625" customWidth="1"/>
    <col min="7" max="7" width="5.36328125" customWidth="1"/>
    <col min="8" max="8" width="27.54296875" customWidth="1"/>
    <col min="9" max="9" width="5.7265625" customWidth="1"/>
    <col min="10" max="10" width="24.6328125" customWidth="1"/>
  </cols>
  <sheetData>
    <row r="1" spans="1:12" ht="36" x14ac:dyDescent="0.8">
      <c r="A1" s="22" t="s">
        <v>95</v>
      </c>
      <c r="B1" s="23"/>
      <c r="C1" s="23"/>
      <c r="D1" s="23"/>
      <c r="E1" s="23"/>
      <c r="F1" s="23"/>
      <c r="G1" s="23"/>
      <c r="H1" s="23"/>
      <c r="I1" s="23"/>
      <c r="J1" s="23"/>
      <c r="K1" s="23"/>
    </row>
    <row r="2" spans="1:12" ht="23.5" x14ac:dyDescent="0.55000000000000004">
      <c r="A2" s="9"/>
    </row>
    <row r="3" spans="1:12" ht="15.5" x14ac:dyDescent="0.35">
      <c r="B3" s="17" t="s">
        <v>93</v>
      </c>
      <c r="C3" s="8"/>
      <c r="D3" s="17" t="s">
        <v>94</v>
      </c>
      <c r="E3" s="8"/>
      <c r="F3" s="17" t="s">
        <v>96</v>
      </c>
      <c r="G3" s="8"/>
      <c r="H3" s="17" t="s">
        <v>91</v>
      </c>
      <c r="I3" s="8"/>
      <c r="J3" s="17" t="s">
        <v>97</v>
      </c>
    </row>
    <row r="4" spans="1:12" ht="21" x14ac:dyDescent="0.5">
      <c r="B4" s="18">
        <f>SUM(Table1[[Revenue ]])</f>
        <v>7677.8</v>
      </c>
      <c r="C4" s="16"/>
      <c r="D4" s="19">
        <f>SUM('Raw Data'!G2:G51)</f>
        <v>4545</v>
      </c>
      <c r="E4" s="16"/>
      <c r="F4" s="20" t="str">
        <f>INDEX('Top Selling Medicine'!A4:A11,MATCH(MAX('Top Selling Medicine'!B4:B11),'Top Selling Medicine'!B4:B11,0))</f>
        <v>Paracetamol 500mg</v>
      </c>
      <c r="G4" s="16"/>
      <c r="H4" s="20" t="str">
        <f>INDEX('Top Revenue Medicine'!A4:A11,MATCH(MAX('Top Revenue Medicine'!B4:B11),'Top Revenue Medicine'!B4:B11,0))</f>
        <v>Augmentin 625mg</v>
      </c>
      <c r="I4" s="16"/>
      <c r="J4" s="21">
        <f>'Revenue growth'!D4</f>
        <v>0.74657881398884951</v>
      </c>
      <c r="K4" s="5"/>
      <c r="L4" s="5"/>
    </row>
    <row r="5" spans="1:12" x14ac:dyDescent="0.35">
      <c r="B5" s="13"/>
    </row>
  </sheetData>
  <mergeCells count="1">
    <mergeCell ref="A1:K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Branded Vs Generic</vt:lpstr>
      <vt:lpstr>Top Selling Medicine</vt:lpstr>
      <vt:lpstr>Top Revenue Medicine</vt:lpstr>
      <vt:lpstr>Revenue growth</vt:lpstr>
      <vt:lpstr>Monthly Revenue</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2026-09-11T04:07:55Z</dcterms:created>
  <dcterms:modified xsi:type="dcterms:W3CDTF">2026-09-11T09:56:35Z</dcterms:modified>
</cp:coreProperties>
</file>