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HIVYA\Portfolio\"/>
    </mc:Choice>
  </mc:AlternateContent>
  <xr:revisionPtr revIDLastSave="0" documentId="13_ncr:1_{2939A8AD-D697-45F0-A07B-1A413D94205F}" xr6:coauthVersionLast="47" xr6:coauthVersionMax="47" xr10:uidLastSave="{00000000-0000-0000-0000-000000000000}"/>
  <bookViews>
    <workbookView xWindow="-110" yWindow="0" windowWidth="19420" windowHeight="10300" activeTab="1" xr2:uid="{39040A1D-DD34-443B-8B50-74279A471DFF}"/>
  </bookViews>
  <sheets>
    <sheet name="Records" sheetId="1" r:id="rId1"/>
    <sheet name="Sheet1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26" i="2" l="1"/>
  <c r="C25" i="2"/>
  <c r="C24" i="2"/>
  <c r="C23" i="2"/>
  <c r="C22" i="2"/>
  <c r="C19" i="2"/>
  <c r="C18" i="2"/>
  <c r="C17" i="2"/>
  <c r="C14" i="2"/>
  <c r="C12" i="2"/>
  <c r="C11" i="2"/>
  <c r="C10" i="2"/>
  <c r="C8" i="2"/>
  <c r="C7" i="2"/>
  <c r="C6" i="2"/>
  <c r="C3" i="2"/>
</calcChain>
</file>

<file path=xl/sharedStrings.xml><?xml version="1.0" encoding="utf-8"?>
<sst xmlns="http://schemas.openxmlformats.org/spreadsheetml/2006/main" count="179" uniqueCount="63">
  <si>
    <t>Age</t>
  </si>
  <si>
    <t>Gender</t>
  </si>
  <si>
    <t xml:space="preserve">Disease </t>
  </si>
  <si>
    <t>Medication</t>
  </si>
  <si>
    <t>Dosage</t>
  </si>
  <si>
    <t>Patient_ID</t>
  </si>
  <si>
    <t>Disease</t>
  </si>
  <si>
    <t>P001</t>
  </si>
  <si>
    <t>Female</t>
  </si>
  <si>
    <t>Diabetes</t>
  </si>
  <si>
    <t>Metformin</t>
  </si>
  <si>
    <t>500mg</t>
  </si>
  <si>
    <t>P002</t>
  </si>
  <si>
    <t>Male</t>
  </si>
  <si>
    <t>Hypertension</t>
  </si>
  <si>
    <t>Amlodipine</t>
  </si>
  <si>
    <t>5mg</t>
  </si>
  <si>
    <t>P003</t>
  </si>
  <si>
    <t>Asthma</t>
  </si>
  <si>
    <t>Salbutamol</t>
  </si>
  <si>
    <t>100mcg</t>
  </si>
  <si>
    <t>P004</t>
  </si>
  <si>
    <t>850mg</t>
  </si>
  <si>
    <t>P005</t>
  </si>
  <si>
    <t>Migraine</t>
  </si>
  <si>
    <t>Sumatriptan</t>
  </si>
  <si>
    <t>50mg</t>
  </si>
  <si>
    <t>P006</t>
  </si>
  <si>
    <t>10mg</t>
  </si>
  <si>
    <t>P007</t>
  </si>
  <si>
    <t>Arthritis</t>
  </si>
  <si>
    <t>Ibuprofen</t>
  </si>
  <si>
    <t>400mg</t>
  </si>
  <si>
    <t>P008</t>
  </si>
  <si>
    <t>P009</t>
  </si>
  <si>
    <t>P010</t>
  </si>
  <si>
    <t>P011</t>
  </si>
  <si>
    <t>High Cholesterol</t>
  </si>
  <si>
    <t>Atorvastatin</t>
  </si>
  <si>
    <t>20mg</t>
  </si>
  <si>
    <t>P012</t>
  </si>
  <si>
    <t>P013</t>
  </si>
  <si>
    <t>P014</t>
  </si>
  <si>
    <t>P015</t>
  </si>
  <si>
    <t>P016</t>
  </si>
  <si>
    <t>P017</t>
  </si>
  <si>
    <t>P018</t>
  </si>
  <si>
    <t>P019</t>
  </si>
  <si>
    <t>P020</t>
  </si>
  <si>
    <t>P021</t>
  </si>
  <si>
    <t>P022</t>
  </si>
  <si>
    <t>P023</t>
  </si>
  <si>
    <t>P024</t>
  </si>
  <si>
    <t>P025</t>
  </si>
  <si>
    <t>P026</t>
  </si>
  <si>
    <t>P027</t>
  </si>
  <si>
    <t>P028</t>
  </si>
  <si>
    <t>P029</t>
  </si>
  <si>
    <t>N/A</t>
  </si>
  <si>
    <t xml:space="preserve">Total </t>
  </si>
  <si>
    <t>Count</t>
  </si>
  <si>
    <t>Average Age</t>
  </si>
  <si>
    <t xml:space="preserve">Gender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</si>
</sst>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C207F47-C391-4CAE-9CB2-23AAC58A29B4}" name="Table1" displayName="Table1" ref="A1:F31" totalsRowShown="0">
  <autoFilter ref="A1:F31" xr:uid="{8C207F47-C391-4CAE-9CB2-23AAC58A29B4}"/>
  <tableColumns count="6">
    <tableColumn id="1" xr3:uid="{EF22AFA0-22E4-48D4-BBC2-689D0D496950}" name="Patient_ID"/>
    <tableColumn id="2" xr3:uid="{3B76C99A-AED8-4BA1-8C00-EFDDB402782E}" name="Age"/>
    <tableColumn id="3" xr3:uid="{948E311F-D779-4BDB-BD3C-471E9D66520E}" name="Gender"/>
    <tableColumn id="4" xr3:uid="{FEF7F19B-2B2E-4A94-8667-AAF933AFC735}" name="Disease"/>
    <tableColumn id="5" xr3:uid="{25A5E831-2534-4D11-A3EC-F8C291D0E619}" name="Medication"/>
    <tableColumn id="6" xr3:uid="{DDA61CC5-7E2D-4D0B-8A9A-9E0CCC3AE9F4}" name="Dosag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A8377C-2127-41CA-ADF5-A6AB5D4902FC}">
  <dimension ref="A1:F31"/>
  <sheetViews>
    <sheetView workbookViewId="0">
      <selection activeCell="H5" sqref="H5:I29"/>
    </sheetView>
  </sheetViews>
  <sheetFormatPr defaultRowHeight="14.5" x14ac:dyDescent="0.35"/>
  <cols>
    <col min="1" max="1" width="11.7265625" customWidth="1"/>
    <col min="3" max="3" width="9" customWidth="1"/>
    <col min="4" max="4" width="19" customWidth="1"/>
    <col min="5" max="5" width="18" customWidth="1"/>
    <col min="6" max="6" width="8.90625" customWidth="1"/>
    <col min="8" max="8" width="15.36328125" customWidth="1"/>
  </cols>
  <sheetData>
    <row r="1" spans="1:6" x14ac:dyDescent="0.35">
      <c r="A1" t="s">
        <v>5</v>
      </c>
      <c r="B1" t="s">
        <v>0</v>
      </c>
      <c r="C1" t="s">
        <v>1</v>
      </c>
      <c r="D1" t="s">
        <v>6</v>
      </c>
      <c r="E1" t="s">
        <v>3</v>
      </c>
      <c r="F1" t="s">
        <v>4</v>
      </c>
    </row>
    <row r="2" spans="1:6" x14ac:dyDescent="0.35">
      <c r="A2" t="s">
        <v>7</v>
      </c>
      <c r="B2">
        <v>45</v>
      </c>
      <c r="C2" t="s">
        <v>8</v>
      </c>
      <c r="D2" t="s">
        <v>9</v>
      </c>
      <c r="E2" t="s">
        <v>10</v>
      </c>
      <c r="F2" t="s">
        <v>11</v>
      </c>
    </row>
    <row r="3" spans="1:6" x14ac:dyDescent="0.35">
      <c r="A3" s="1" t="s">
        <v>12</v>
      </c>
      <c r="B3">
        <v>52</v>
      </c>
      <c r="C3" t="s">
        <v>13</v>
      </c>
      <c r="D3" t="s">
        <v>14</v>
      </c>
      <c r="E3" t="s">
        <v>15</v>
      </c>
      <c r="F3" t="s">
        <v>16</v>
      </c>
    </row>
    <row r="4" spans="1:6" x14ac:dyDescent="0.35">
      <c r="A4" t="s">
        <v>17</v>
      </c>
      <c r="B4">
        <v>38</v>
      </c>
      <c r="C4" t="s">
        <v>8</v>
      </c>
      <c r="D4" t="s">
        <v>18</v>
      </c>
      <c r="E4" t="s">
        <v>19</v>
      </c>
      <c r="F4" t="s">
        <v>20</v>
      </c>
    </row>
    <row r="5" spans="1:6" x14ac:dyDescent="0.35">
      <c r="A5" t="s">
        <v>21</v>
      </c>
      <c r="B5">
        <v>61</v>
      </c>
      <c r="C5" t="s">
        <v>13</v>
      </c>
      <c r="D5" t="s">
        <v>9</v>
      </c>
      <c r="E5" t="s">
        <v>10</v>
      </c>
      <c r="F5" t="s">
        <v>22</v>
      </c>
    </row>
    <row r="6" spans="1:6" x14ac:dyDescent="0.35">
      <c r="A6" t="s">
        <v>23</v>
      </c>
      <c r="B6">
        <v>29</v>
      </c>
      <c r="C6" t="s">
        <v>8</v>
      </c>
      <c r="D6" t="s">
        <v>24</v>
      </c>
      <c r="E6" t="s">
        <v>25</v>
      </c>
      <c r="F6" t="s">
        <v>26</v>
      </c>
    </row>
    <row r="7" spans="1:6" x14ac:dyDescent="0.35">
      <c r="A7" t="s">
        <v>27</v>
      </c>
      <c r="B7">
        <v>47</v>
      </c>
      <c r="C7" t="s">
        <v>13</v>
      </c>
      <c r="D7" t="s">
        <v>14</v>
      </c>
      <c r="E7" t="s">
        <v>15</v>
      </c>
      <c r="F7" t="s">
        <v>28</v>
      </c>
    </row>
    <row r="8" spans="1:6" x14ac:dyDescent="0.35">
      <c r="A8" t="s">
        <v>29</v>
      </c>
      <c r="B8">
        <v>55</v>
      </c>
      <c r="C8" t="s">
        <v>8</v>
      </c>
      <c r="D8" t="s">
        <v>30</v>
      </c>
      <c r="E8" t="s">
        <v>31</v>
      </c>
      <c r="F8" t="s">
        <v>32</v>
      </c>
    </row>
    <row r="9" spans="1:6" x14ac:dyDescent="0.35">
      <c r="A9" t="s">
        <v>33</v>
      </c>
      <c r="B9">
        <v>34</v>
      </c>
      <c r="C9" t="s">
        <v>13</v>
      </c>
      <c r="D9" t="s">
        <v>18</v>
      </c>
      <c r="E9" t="s">
        <v>19</v>
      </c>
      <c r="F9" t="s">
        <v>20</v>
      </c>
    </row>
    <row r="10" spans="1:6" x14ac:dyDescent="0.35">
      <c r="A10" t="s">
        <v>34</v>
      </c>
      <c r="B10">
        <v>42</v>
      </c>
      <c r="C10" t="s">
        <v>8</v>
      </c>
      <c r="D10" t="s">
        <v>9</v>
      </c>
      <c r="E10" t="s">
        <v>10</v>
      </c>
      <c r="F10" t="s">
        <v>11</v>
      </c>
    </row>
    <row r="11" spans="1:6" x14ac:dyDescent="0.35">
      <c r="A11" s="1" t="s">
        <v>12</v>
      </c>
      <c r="B11">
        <v>52</v>
      </c>
      <c r="C11" t="s">
        <v>13</v>
      </c>
      <c r="D11" t="s">
        <v>14</v>
      </c>
      <c r="E11" t="s">
        <v>15</v>
      </c>
      <c r="F11" t="s">
        <v>16</v>
      </c>
    </row>
    <row r="12" spans="1:6" x14ac:dyDescent="0.35">
      <c r="A12" t="s">
        <v>35</v>
      </c>
      <c r="B12">
        <v>68</v>
      </c>
      <c r="C12" t="s">
        <v>13</v>
      </c>
      <c r="D12" t="s">
        <v>14</v>
      </c>
      <c r="E12" t="s">
        <v>15</v>
      </c>
      <c r="F12" t="s">
        <v>16</v>
      </c>
    </row>
    <row r="13" spans="1:6" x14ac:dyDescent="0.35">
      <c r="A13" t="s">
        <v>36</v>
      </c>
      <c r="B13">
        <v>51</v>
      </c>
      <c r="C13" t="s">
        <v>8</v>
      </c>
      <c r="D13" t="s">
        <v>37</v>
      </c>
      <c r="E13" t="s">
        <v>38</v>
      </c>
      <c r="F13" t="s">
        <v>39</v>
      </c>
    </row>
    <row r="14" spans="1:6" x14ac:dyDescent="0.35">
      <c r="A14" t="s">
        <v>40</v>
      </c>
      <c r="B14">
        <v>27</v>
      </c>
      <c r="C14" t="s">
        <v>13</v>
      </c>
      <c r="D14" t="s">
        <v>24</v>
      </c>
      <c r="E14" t="s">
        <v>25</v>
      </c>
      <c r="F14" t="s">
        <v>26</v>
      </c>
    </row>
    <row r="15" spans="1:6" x14ac:dyDescent="0.35">
      <c r="A15" t="s">
        <v>41</v>
      </c>
      <c r="B15">
        <v>63</v>
      </c>
      <c r="C15" t="s">
        <v>8</v>
      </c>
      <c r="D15" t="s">
        <v>9</v>
      </c>
      <c r="E15" t="s">
        <v>10</v>
      </c>
      <c r="F15" t="s">
        <v>22</v>
      </c>
    </row>
    <row r="16" spans="1:6" x14ac:dyDescent="0.35">
      <c r="A16" t="s">
        <v>42</v>
      </c>
      <c r="B16">
        <v>40</v>
      </c>
      <c r="C16" t="s">
        <v>13</v>
      </c>
      <c r="D16" t="s">
        <v>18</v>
      </c>
      <c r="E16" t="s">
        <v>19</v>
      </c>
      <c r="F16" t="s">
        <v>20</v>
      </c>
    </row>
    <row r="17" spans="1:6" x14ac:dyDescent="0.35">
      <c r="A17" t="s">
        <v>43</v>
      </c>
      <c r="B17">
        <v>56</v>
      </c>
      <c r="C17" t="s">
        <v>8</v>
      </c>
      <c r="D17" t="s">
        <v>14</v>
      </c>
      <c r="E17" t="s">
        <v>15</v>
      </c>
      <c r="F17" t="s">
        <v>28</v>
      </c>
    </row>
    <row r="18" spans="1:6" x14ac:dyDescent="0.35">
      <c r="A18" t="s">
        <v>44</v>
      </c>
      <c r="B18">
        <v>49</v>
      </c>
      <c r="C18" t="s">
        <v>13</v>
      </c>
      <c r="D18" t="s">
        <v>30</v>
      </c>
      <c r="E18" t="s">
        <v>31</v>
      </c>
      <c r="F18" t="s">
        <v>32</v>
      </c>
    </row>
    <row r="19" spans="1:6" x14ac:dyDescent="0.35">
      <c r="A19" t="s">
        <v>45</v>
      </c>
      <c r="B19">
        <v>36</v>
      </c>
      <c r="C19" t="s">
        <v>8</v>
      </c>
      <c r="D19" t="s">
        <v>9</v>
      </c>
      <c r="E19" t="s">
        <v>10</v>
      </c>
      <c r="F19" t="s">
        <v>11</v>
      </c>
    </row>
    <row r="20" spans="1:6" x14ac:dyDescent="0.35">
      <c r="A20" t="s">
        <v>46</v>
      </c>
      <c r="B20">
        <v>72</v>
      </c>
      <c r="C20" t="s">
        <v>13</v>
      </c>
      <c r="D20" t="s">
        <v>14</v>
      </c>
      <c r="E20" t="s">
        <v>15</v>
      </c>
      <c r="F20" t="s">
        <v>16</v>
      </c>
    </row>
    <row r="21" spans="1:6" x14ac:dyDescent="0.35">
      <c r="A21" t="s">
        <v>47</v>
      </c>
      <c r="B21">
        <v>44</v>
      </c>
      <c r="C21" t="s">
        <v>8</v>
      </c>
      <c r="D21" t="s">
        <v>24</v>
      </c>
      <c r="E21" t="s">
        <v>25</v>
      </c>
      <c r="F21" t="s">
        <v>26</v>
      </c>
    </row>
    <row r="22" spans="1:6" x14ac:dyDescent="0.35">
      <c r="A22" t="s">
        <v>48</v>
      </c>
      <c r="B22">
        <v>58</v>
      </c>
      <c r="C22" t="s">
        <v>13</v>
      </c>
      <c r="D22" t="s">
        <v>37</v>
      </c>
      <c r="E22" t="s">
        <v>38</v>
      </c>
      <c r="F22" t="s">
        <v>39</v>
      </c>
    </row>
    <row r="23" spans="1:6" x14ac:dyDescent="0.35">
      <c r="A23" t="s">
        <v>49</v>
      </c>
      <c r="B23">
        <v>31</v>
      </c>
      <c r="C23" t="s">
        <v>8</v>
      </c>
      <c r="D23" t="s">
        <v>18</v>
      </c>
      <c r="E23" t="s">
        <v>19</v>
      </c>
      <c r="F23" t="s">
        <v>20</v>
      </c>
    </row>
    <row r="24" spans="1:6" x14ac:dyDescent="0.35">
      <c r="A24" t="s">
        <v>50</v>
      </c>
      <c r="B24">
        <v>65</v>
      </c>
      <c r="C24" t="s">
        <v>13</v>
      </c>
      <c r="D24" t="s">
        <v>9</v>
      </c>
      <c r="E24" t="s">
        <v>10</v>
      </c>
      <c r="F24" t="s">
        <v>22</v>
      </c>
    </row>
    <row r="25" spans="1:6" x14ac:dyDescent="0.35">
      <c r="A25" t="s">
        <v>51</v>
      </c>
      <c r="B25">
        <v>53</v>
      </c>
      <c r="C25" t="s">
        <v>8</v>
      </c>
      <c r="D25" t="s">
        <v>14</v>
      </c>
      <c r="E25" t="s">
        <v>15</v>
      </c>
      <c r="F25" t="s">
        <v>16</v>
      </c>
    </row>
    <row r="26" spans="1:6" x14ac:dyDescent="0.35">
      <c r="A26" t="s">
        <v>52</v>
      </c>
      <c r="B26">
        <v>39</v>
      </c>
      <c r="C26" t="s">
        <v>13</v>
      </c>
      <c r="D26" t="s">
        <v>30</v>
      </c>
      <c r="E26" t="s">
        <v>31</v>
      </c>
      <c r="F26" t="s">
        <v>32</v>
      </c>
    </row>
    <row r="27" spans="1:6" x14ac:dyDescent="0.35">
      <c r="A27" t="s">
        <v>53</v>
      </c>
      <c r="B27" t="s">
        <v>58</v>
      </c>
      <c r="C27" t="s">
        <v>8</v>
      </c>
      <c r="D27" t="s">
        <v>9</v>
      </c>
      <c r="E27" t="s">
        <v>10</v>
      </c>
      <c r="F27" t="s">
        <v>11</v>
      </c>
    </row>
    <row r="28" spans="1:6" x14ac:dyDescent="0.35">
      <c r="A28" t="s">
        <v>54</v>
      </c>
      <c r="B28">
        <v>48</v>
      </c>
      <c r="C28" t="s">
        <v>58</v>
      </c>
      <c r="D28" t="s">
        <v>14</v>
      </c>
      <c r="E28" t="s">
        <v>15</v>
      </c>
      <c r="F28" t="s">
        <v>28</v>
      </c>
    </row>
    <row r="29" spans="1:6" x14ac:dyDescent="0.35">
      <c r="A29" t="s">
        <v>55</v>
      </c>
      <c r="B29">
        <v>57</v>
      </c>
      <c r="C29" t="s">
        <v>13</v>
      </c>
      <c r="D29" t="s">
        <v>58</v>
      </c>
      <c r="E29" t="s">
        <v>38</v>
      </c>
      <c r="F29" t="s">
        <v>39</v>
      </c>
    </row>
    <row r="30" spans="1:6" x14ac:dyDescent="0.35">
      <c r="A30" t="s">
        <v>56</v>
      </c>
      <c r="B30">
        <v>46</v>
      </c>
      <c r="C30" t="s">
        <v>8</v>
      </c>
      <c r="D30" t="s">
        <v>18</v>
      </c>
      <c r="E30" t="s">
        <v>19</v>
      </c>
      <c r="F30" t="s">
        <v>58</v>
      </c>
    </row>
    <row r="31" spans="1:6" x14ac:dyDescent="0.35">
      <c r="A31" t="s">
        <v>57</v>
      </c>
      <c r="B31">
        <v>45</v>
      </c>
      <c r="C31" t="s">
        <v>8</v>
      </c>
      <c r="D31" t="s">
        <v>9</v>
      </c>
      <c r="E31" t="s">
        <v>10</v>
      </c>
      <c r="F31" t="s">
        <v>11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ACCE49-0697-4E7A-94B3-8877D3A7D908}">
  <dimension ref="B3:C26"/>
  <sheetViews>
    <sheetView tabSelected="1" workbookViewId="0">
      <selection activeCell="E4" sqref="E4"/>
    </sheetView>
  </sheetViews>
  <sheetFormatPr defaultRowHeight="14.5" x14ac:dyDescent="0.35"/>
  <cols>
    <col min="2" max="2" width="14.54296875" bestFit="1" customWidth="1"/>
  </cols>
  <sheetData>
    <row r="3" spans="2:3" x14ac:dyDescent="0.35">
      <c r="B3" s="1" t="s">
        <v>59</v>
      </c>
      <c r="C3" s="1">
        <f>COUNTA(Records!A2:A31)</f>
        <v>30</v>
      </c>
    </row>
    <row r="5" spans="2:3" x14ac:dyDescent="0.35">
      <c r="B5" s="2" t="s">
        <v>2</v>
      </c>
      <c r="C5" s="2" t="s">
        <v>60</v>
      </c>
    </row>
    <row r="6" spans="2:3" x14ac:dyDescent="0.35">
      <c r="B6" t="s">
        <v>9</v>
      </c>
      <c r="C6">
        <f>COUNTIF(Records!D2:D31,"Diabetes")</f>
        <v>8</v>
      </c>
    </row>
    <row r="7" spans="2:3" x14ac:dyDescent="0.35">
      <c r="B7" t="s">
        <v>14</v>
      </c>
      <c r="C7">
        <f>COUNTIF(Records!D2:D31, "Hypertension")</f>
        <v>8</v>
      </c>
    </row>
    <row r="8" spans="2:3" x14ac:dyDescent="0.35">
      <c r="B8" t="s">
        <v>18</v>
      </c>
      <c r="C8">
        <f>COUNTIF(Records!D2:D31,"Asthma")</f>
        <v>5</v>
      </c>
    </row>
    <row r="10" spans="2:3" x14ac:dyDescent="0.35">
      <c r="B10" t="s">
        <v>24</v>
      </c>
      <c r="C10">
        <f>COUNTIF(Records!D2:D31, "Migraine")</f>
        <v>3</v>
      </c>
    </row>
    <row r="11" spans="2:3" x14ac:dyDescent="0.35">
      <c r="B11" t="s">
        <v>30</v>
      </c>
      <c r="C11">
        <f>COUNTIF(Records!D2:D31,"Arthritis")</f>
        <v>3</v>
      </c>
    </row>
    <row r="12" spans="2:3" x14ac:dyDescent="0.35">
      <c r="B12" t="s">
        <v>37</v>
      </c>
      <c r="C12">
        <f>COUNTIF(Records!D2:D31, "High Cholesterol")</f>
        <v>2</v>
      </c>
    </row>
    <row r="14" spans="2:3" x14ac:dyDescent="0.35">
      <c r="B14" s="1" t="s">
        <v>61</v>
      </c>
      <c r="C14" s="1">
        <f>AVERAGE(Records!B2:B31)</f>
        <v>48.379310344827587</v>
      </c>
    </row>
    <row r="16" spans="2:3" x14ac:dyDescent="0.35">
      <c r="B16" s="2" t="s">
        <v>62</v>
      </c>
      <c r="C16" s="2" t="s">
        <v>60</v>
      </c>
    </row>
    <row r="17" spans="2:3" x14ac:dyDescent="0.35">
      <c r="B17" t="s">
        <v>13</v>
      </c>
      <c r="C17">
        <f>COUNTIF(Records!C2:C31, "Male")</f>
        <v>14</v>
      </c>
    </row>
    <row r="18" spans="2:3" x14ac:dyDescent="0.35">
      <c r="B18" t="s">
        <v>8</v>
      </c>
      <c r="C18">
        <f>COUNTIF(Records!C2:C31,"Female")</f>
        <v>15</v>
      </c>
    </row>
    <row r="19" spans="2:3" x14ac:dyDescent="0.35">
      <c r="B19" t="s">
        <v>58</v>
      </c>
      <c r="C19">
        <f>COUNTIF(Records!C2:C31,"N/A")</f>
        <v>1</v>
      </c>
    </row>
    <row r="21" spans="2:3" x14ac:dyDescent="0.35">
      <c r="B21" s="2" t="s">
        <v>3</v>
      </c>
      <c r="C21" s="2" t="s">
        <v>60</v>
      </c>
    </row>
    <row r="22" spans="2:3" x14ac:dyDescent="0.35">
      <c r="B22" t="s">
        <v>10</v>
      </c>
      <c r="C22">
        <f>COUNTIF(Records!E2:E31,"Metformin")</f>
        <v>8</v>
      </c>
    </row>
    <row r="23" spans="2:3" x14ac:dyDescent="0.35">
      <c r="B23" t="s">
        <v>15</v>
      </c>
      <c r="C23">
        <f>COUNTIF(Records!E2:E31,"Amlodipine")</f>
        <v>8</v>
      </c>
    </row>
    <row r="24" spans="2:3" x14ac:dyDescent="0.35">
      <c r="B24" t="s">
        <v>19</v>
      </c>
      <c r="C24">
        <f>COUNTIF(Records!E2:E31,"Salbutamol")</f>
        <v>5</v>
      </c>
    </row>
    <row r="25" spans="2:3" x14ac:dyDescent="0.35">
      <c r="B25" t="s">
        <v>38</v>
      </c>
      <c r="C25">
        <f>COUNTIF(Records!E2:E31,"Atorvastatin")</f>
        <v>3</v>
      </c>
    </row>
    <row r="26" spans="2:3" x14ac:dyDescent="0.35">
      <c r="B26" t="s">
        <v>25</v>
      </c>
      <c r="C26">
        <f>COUNTIF(Records!E2:E31,"Sumatriptan")</f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Records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2026-09-04T09:03:20Z</dcterms:created>
  <dcterms:modified xsi:type="dcterms:W3CDTF">2026-09-04T14:59:48Z</dcterms:modified>
</cp:coreProperties>
</file>